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看板" sheetId="1" state="visible" r:id="rId1"/>
    <sheet xmlns:r="http://schemas.openxmlformats.org/officeDocument/2006/relationships" name="原始数据" sheetId="2" state="visible" r:id="rId2"/>
    <sheet xmlns:r="http://schemas.openxmlformats.org/officeDocument/2006/relationships" name="计算过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9">
    <font>
      <name val="Calibri"/>
      <family val="2"/>
      <color theme="1"/>
      <sz val="11"/>
      <scheme val="minor"/>
    </font>
    <font>
      <name val="Microsoft YaHei"/>
      <b val="1"/>
      <color rgb="FF1B1F1E"/>
      <sz val="16"/>
    </font>
    <font>
      <name val="Microsoft YaHei"/>
      <color rgb="FF747C79"/>
      <sz val="9.5"/>
    </font>
    <font>
      <name val="Microsoft YaHei"/>
      <b val="1"/>
      <color rgb="FF8C3A2B"/>
      <sz val="11.5"/>
    </font>
    <font>
      <name val="Microsoft YaHei"/>
      <b val="1"/>
      <color rgb="FFFFFFFF"/>
      <sz val="10.5"/>
    </font>
    <font>
      <name val="Microsoft YaHei"/>
      <color rgb="FF434A48"/>
      <sz val="10"/>
    </font>
    <font>
      <name val="Microsoft YaHei"/>
      <b val="1"/>
      <color rgb="FF8C3A2B"/>
      <sz val="13"/>
    </font>
    <font>
      <name val="Microsoft YaHei"/>
      <color rgb="FF747C79"/>
      <sz val="9"/>
    </font>
    <font>
      <name val="Microsoft YaHei"/>
      <b val="1"/>
      <color rgb="FF1B1F1E"/>
      <sz val="10"/>
    </font>
  </fonts>
  <fills count="6">
    <fill>
      <patternFill/>
    </fill>
    <fill>
      <patternFill patternType="gray125"/>
    </fill>
    <fill>
      <patternFill patternType="solid">
        <fgColor rgb="FF8C3A2B"/>
      </patternFill>
    </fill>
    <fill>
      <patternFill patternType="solid">
        <fgColor rgb="FFF7EDEA"/>
      </patternFill>
    </fill>
    <fill>
      <patternFill patternType="solid">
        <fgColor rgb="FFF8F4F2"/>
      </patternFill>
    </fill>
    <fill>
      <patternFill patternType="solid">
        <fgColor rgb="FFF6EFED"/>
      </patternFill>
    </fill>
  </fills>
  <borders count="3">
    <border>
      <left/>
      <right/>
      <top/>
      <bottom/>
      <diagonal/>
    </border>
    <border>
      <bottom style="thin">
        <color rgb="FF5E2719"/>
      </bottom>
    </border>
    <border>
      <bottom style="thin">
        <color rgb="FFE3D5D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164" fontId="6" fillId="0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left" vertical="center" wrapText="1"/>
    </xf>
    <xf numFmtId="164" fontId="6" fillId="4" borderId="2" applyAlignment="1" pivotButton="0" quotePrefix="0" xfId="0">
      <alignment horizontal="right" vertical="center"/>
    </xf>
    <xf numFmtId="0" fontId="7" fillId="4" borderId="2" applyAlignment="1" pivotButton="0" quotePrefix="0" xfId="0">
      <alignment horizontal="left" vertical="center" wrapText="1"/>
    </xf>
    <xf numFmtId="165" fontId="6" fillId="0" borderId="2" applyAlignment="1" pivotButton="0" quotePrefix="0" xfId="0">
      <alignment horizontal="right" vertical="center"/>
    </xf>
    <xf numFmtId="165" fontId="6" fillId="4" borderId="2" applyAlignment="1" pivotButton="0" quotePrefix="0" xfId="0">
      <alignment horizontal="right" vertical="center"/>
    </xf>
    <xf numFmtId="1" fontId="6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center" wrapText="1"/>
    </xf>
    <xf numFmtId="164" fontId="5" fillId="0" borderId="2" applyAlignment="1" pivotButton="0" quotePrefix="0" xfId="0">
      <alignment horizontal="right" vertical="center"/>
    </xf>
    <xf numFmtId="165" fontId="8" fillId="5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left" vertical="center" wrapText="1"/>
    </xf>
    <xf numFmtId="164" fontId="5" fillId="4" borderId="2" applyAlignment="1" pivotButton="0" quotePrefix="0" xfId="0">
      <alignment horizontal="right" vertical="center"/>
    </xf>
    <xf numFmtId="0" fontId="5" fillId="0" borderId="2" pivotButton="0" quotePrefix="0" xfId="0"/>
    <xf numFmtId="0" fontId="8" fillId="3" borderId="2" applyAlignment="1" pivotButton="0" quotePrefix="0" xfId="0">
      <alignment horizontal="left" vertical="center" wrapText="1"/>
    </xf>
    <xf numFmtId="0" fontId="0" fillId="0" borderId="2" pivotButton="0" quotePrefix="0" xfId="0"/>
    <xf numFmtId="1" fontId="6" fillId="4" borderId="2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  <xf numFmtId="165" fontId="5" fillId="5" borderId="2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  <xf numFmtId="1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dxfs count="2">
    <dxf>
      <font>
        <name val="Microsoft YaHei"/>
        <b val="1"/>
        <color rgb="FFA83A2C"/>
        <sz val="10"/>
      </font>
    </dxf>
    <dxf>
      <font>
        <name val="Microsoft YaHei"/>
        <b val="1"/>
        <color rgb="FF3F7A5E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移动游戏单季收入（亿元）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'汇总看板'!B12</f>
            </strRef>
          </tx>
          <spPr>
            <a:solidFill xmlns:a="http://schemas.openxmlformats.org/drawingml/2006/main">
              <a:srgbClr val="8C3A2B"/>
            </a:solidFill>
            <a:ln xmlns:a="http://schemas.openxmlformats.org/drawingml/2006/main">
              <a:prstDash val="solid"/>
            </a:ln>
          </spPr>
          <cat>
            <strRef>
              <f>'汇总看板'!$A$13:$A$20</f>
            </strRef>
          </cat>
          <val>
            <numRef>
              <f>'汇总看板'!$B$13:$B$20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期间</a:t>
                </a:r>
              </a:p>
            </rich>
          </tx>
        </title>
        <numFmt formatCode="General" sourceLinked="0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亿元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76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4" customWidth="1" min="3" max="3"/>
    <col width="40" customWidth="1" min="4" max="4"/>
  </cols>
  <sheetData>
    <row r="1" ht="32" customHeight="1">
      <c r="A1" s="1" t="inlineStr">
        <is>
          <t>《三国：谋定天下》数据运营分析 · 汇总</t>
        </is>
      </c>
    </row>
    <row r="2" ht="16" customHeight="1">
      <c r="A2" s="2" t="inlineStr">
        <is>
          <t>板块口径与产品侧数据交叉验证 · 数据截至 2026-08</t>
        </is>
      </c>
    </row>
    <row r="3" ht="22" customHeight="1">
      <c r="A3" s="3" t="inlineStr">
        <is>
          <t>核心指标</t>
        </is>
      </c>
    </row>
    <row r="4" ht="26" customHeight="1">
      <c r="A4" s="4" t="inlineStr">
        <is>
          <t>指标</t>
        </is>
      </c>
      <c r="B4" s="4" t="inlineStr">
        <is>
          <t>数值</t>
        </is>
      </c>
      <c r="C4" s="4" t="inlineStr">
        <is>
          <t>说明</t>
        </is>
      </c>
    </row>
    <row r="5" ht="23" customHeight="1">
      <c r="A5" s="5" t="inlineStr">
        <is>
          <t>区间起点收入（亿元）</t>
        </is>
      </c>
      <c r="B5" s="6">
        <f>B13</f>
        <v>18.2</v>
      </c>
      <c r="C5" s="7" t="inlineStr">
        <is>
          <t>2024 Q3，板块口径</t>
        </is>
      </c>
    </row>
    <row r="6" ht="23" customHeight="1">
      <c r="A6" s="5" t="inlineStr">
        <is>
          <t>最新季度收入（亿元）</t>
        </is>
      </c>
      <c r="B6" s="8">
        <f>B20</f>
        <v>13.9</v>
      </c>
      <c r="C6" s="9" t="inlineStr">
        <is>
          <t>2026 Q2，板块口径</t>
        </is>
      </c>
    </row>
    <row r="7" ht="23" customHeight="1">
      <c r="A7" s="5" t="inlineStr">
        <is>
          <t>区间累计变化</t>
        </is>
      </c>
      <c r="B7" s="10">
        <f>IF(OR(B13="",B13=0),"",B20/B13-1)</f>
        <v>-0.2362637362637362</v>
      </c>
      <c r="C7" s="7" t="inlineStr">
        <is>
          <t>八个季度累计</t>
        </is>
      </c>
    </row>
    <row r="8" ht="23" customHeight="1">
      <c r="A8" s="5" t="inlineStr">
        <is>
          <t>最大单季跌幅</t>
        </is>
      </c>
      <c r="B8" s="11">
        <f>MIN(C14:C20)</f>
        <v>-0.08552631578947367</v>
      </c>
      <c r="C8" s="9" t="inlineStr">
        <is>
          <t>环比最差的一个季度</t>
        </is>
      </c>
    </row>
    <row r="9" ht="23" customHeight="1">
      <c r="A9" s="5" t="inlineStr">
        <is>
          <t>环比回升次数</t>
        </is>
      </c>
      <c r="B9" s="12">
        <f>COUNTIF(C14:C20,"&gt;0")</f>
        <v>1.0</v>
      </c>
      <c r="C9" s="7" t="inlineStr">
        <is>
          <t>全区间仅一次</t>
        </is>
      </c>
    </row>
    <row r="11" ht="22" customHeight="1">
      <c r="A11" s="3" t="inlineStr">
        <is>
          <t>平台侧：移动游戏单季收入（板块口径，含其他产品）</t>
        </is>
      </c>
    </row>
    <row r="12" ht="26" customHeight="1">
      <c r="A12" s="4" t="inlineStr">
        <is>
          <t>期间</t>
        </is>
      </c>
      <c r="B12" s="4" t="inlineStr">
        <is>
          <t>单季收入（亿元）</t>
        </is>
      </c>
      <c r="C12" s="4" t="inlineStr">
        <is>
          <t>环比</t>
        </is>
      </c>
      <c r="D12" s="4" t="inlineStr">
        <is>
          <t>区间内表现</t>
        </is>
      </c>
    </row>
    <row r="13" ht="21" customHeight="1">
      <c r="A13" s="13" t="inlineStr">
        <is>
          <t>2024 Q3</t>
        </is>
      </c>
      <c r="B13" s="14" t="n">
        <v>18.2</v>
      </c>
      <c r="C13" s="15" t="inlineStr">
        <is>
          <t>—</t>
        </is>
      </c>
      <c r="D13" s="13" t="inlineStr">
        <is>
          <t>公测后首个完整季度，区间起点</t>
        </is>
      </c>
    </row>
    <row r="14" ht="21" customHeight="1">
      <c r="A14" s="16" t="inlineStr">
        <is>
          <t>2024 Q4</t>
        </is>
      </c>
      <c r="B14" s="17" t="n">
        <v>17.9</v>
      </c>
      <c r="C14" s="15">
        <f>IF(OR(B13="",B13=0),"",B14/B13-1)</f>
        <v>-0.016483516483516536</v>
      </c>
      <c r="D14" s="16" t="inlineStr"/>
    </row>
    <row r="15" ht="21" customHeight="1">
      <c r="A15" s="13" t="inlineStr">
        <is>
          <t>2025 Q1</t>
        </is>
      </c>
      <c r="B15" s="14" t="n">
        <v>17.3</v>
      </c>
      <c r="C15" s="15">
        <f>IF(OR(B14="",B14=0),"",B15/B14-1)</f>
        <v>-0.03351955307262555</v>
      </c>
      <c r="D15" s="13" t="inlineStr"/>
    </row>
    <row r="16" ht="21" customHeight="1">
      <c r="A16" s="16" t="inlineStr">
        <is>
          <t>2025 Q2</t>
        </is>
      </c>
      <c r="B16" s="17" t="n">
        <v>16.1</v>
      </c>
      <c r="C16" s="15">
        <f>IF(OR(B15="",B15=0),"",B16/B15-1)</f>
        <v>-0.06936416184971095</v>
      </c>
      <c r="D16" s="16" t="inlineStr">
        <is>
          <t>隆中对版本于 5 月上线</t>
        </is>
      </c>
    </row>
    <row r="17" ht="21" customHeight="1">
      <c r="A17" s="13" t="inlineStr">
        <is>
          <t>2025 Q3</t>
        </is>
      </c>
      <c r="B17" s="14" t="n">
        <v>15.1</v>
      </c>
      <c r="C17" s="15">
        <f>IF(OR(B16="",B16=0),"",B17/B16-1)</f>
        <v>-0.06211180124223614</v>
      </c>
      <c r="D17" s="13" t="inlineStr">
        <is>
          <t>区间低点</t>
        </is>
      </c>
    </row>
    <row r="18" ht="21" customHeight="1">
      <c r="A18" s="16" t="inlineStr">
        <is>
          <t>2025 Q4</t>
        </is>
      </c>
      <c r="B18" s="17" t="n">
        <v>15.4</v>
      </c>
      <c r="C18" s="15">
        <f>IF(OR(B17="",B17=0),"",B18/B17-1)</f>
        <v>0.019867549668874274</v>
      </c>
      <c r="D18" s="16" t="inlineStr">
        <is>
          <t>全区间唯一一次环比回升</t>
        </is>
      </c>
    </row>
    <row r="19" ht="21" customHeight="1">
      <c r="A19" s="13" t="inlineStr">
        <is>
          <t>2026 Q1</t>
        </is>
      </c>
      <c r="B19" s="14" t="n">
        <v>15.2</v>
      </c>
      <c r="C19" s="15">
        <f>IF(OR(B18="",B18=0),"",B19/B18-1)</f>
        <v>-0.012987012987013102</v>
      </c>
      <c r="D19" s="13" t="inlineStr"/>
    </row>
    <row r="20" ht="21" customHeight="1">
      <c r="A20" s="16" t="inlineStr">
        <is>
          <t>2026 Q2</t>
        </is>
      </c>
      <c r="B20" s="17" t="n">
        <v>13.9</v>
      </c>
      <c r="C20" s="15">
        <f>IF(OR(B19="",B19=0),"",B20/B19-1)</f>
        <v>-0.08552631578947367</v>
      </c>
      <c r="D20" s="16" t="inlineStr">
        <is>
          <t>2 周年与赤壁惊涛剧本同期</t>
        </is>
      </c>
    </row>
    <row r="21" ht="21" customHeight="1">
      <c r="A21" s="18" t="inlineStr">
        <is>
          <t>校验</t>
        </is>
      </c>
      <c r="B21" s="19" t="str">
        <f>IF(ROUND(B13-18.2,2)=0,"通过：起点收入与财报一致","不一致，需检查")</f>
        <v>通过：起点收入与财报一致</v>
      </c>
      <c r="C21" s="20" t="n"/>
      <c r="D21" s="20" t="n"/>
    </row>
    <row r="23" ht="22" customHeight="1">
      <c r="A23" s="3" t="inlineStr">
        <is>
          <t>脉冲模型：两个方向相反的指标</t>
        </is>
      </c>
    </row>
    <row r="24" ht="26" customHeight="1">
      <c r="A24" s="4" t="inlineStr">
        <is>
          <t>维度</t>
        </is>
      </c>
      <c r="B24" s="4" t="inlineStr">
        <is>
          <t>观测指标</t>
        </is>
      </c>
      <c r="C24" s="4" t="inlineStr">
        <is>
          <t>数值</t>
        </is>
      </c>
      <c r="D24" s="4" t="inlineStr">
        <is>
          <t>判断</t>
        </is>
      </c>
    </row>
    <row r="25" ht="21" customHeight="1">
      <c r="A25" s="13" t="inlineStr">
        <is>
          <t>脉冲端</t>
        </is>
      </c>
      <c r="B25" s="13" t="inlineStr">
        <is>
          <t>2026-06 赤壁惊涛当日流水增幅</t>
        </is>
      </c>
      <c r="C25" s="10" t="n">
        <v>5.09</v>
      </c>
      <c r="D25" s="13" t="inlineStr">
        <is>
          <t>仍在创新高（2025 年初以来最高）</t>
        </is>
      </c>
    </row>
    <row r="26" ht="21" customHeight="1">
      <c r="A26" s="16" t="inlineStr">
        <is>
          <t>脉冲端</t>
        </is>
      </c>
      <c r="B26" s="16" t="inlineStr">
        <is>
          <t>2026-07 武侯遗志单日排名提升</t>
        </is>
      </c>
      <c r="C26" s="21" t="n">
        <v>94</v>
      </c>
      <c r="D26" s="16" t="inlineStr">
        <is>
          <t>常规剧本仍有拉动能力</t>
        </is>
      </c>
    </row>
    <row r="27" ht="21" customHeight="1">
      <c r="A27" s="13" t="inlineStr">
        <is>
          <t>基线端</t>
        </is>
      </c>
      <c r="B27" s="13" t="inlineStr">
        <is>
          <t>平台游戏收入八个季度累计变化</t>
        </is>
      </c>
      <c r="C27" s="10" t="n">
        <v>-0.236</v>
      </c>
      <c r="D27" s="13" t="inlineStr">
        <is>
          <t>缓慢下移</t>
        </is>
      </c>
    </row>
    <row r="28" ht="21" customHeight="1">
      <c r="A28" s="16" t="inlineStr">
        <is>
          <t>基线端</t>
        </is>
      </c>
      <c r="B28" s="16" t="inlineStr">
        <is>
          <t>2026 Q2 板块收入同比变化</t>
        </is>
      </c>
      <c r="C28" s="11" t="n">
        <v>-0.14</v>
      </c>
      <c r="D28" s="16" t="inlineStr">
        <is>
          <t>继续下行</t>
        </is>
      </c>
    </row>
  </sheetData>
  <mergeCells count="3">
    <mergeCell ref="A2:E2"/>
    <mergeCell ref="A1:E1"/>
    <mergeCell ref="B21:D21"/>
  </mergeCells>
  <conditionalFormatting sqref="C14:C20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2" customWidth="1" min="3" max="3"/>
    <col width="36" customWidth="1" min="4" max="4"/>
  </cols>
  <sheetData>
    <row r="1" ht="30" customHeight="1">
      <c r="A1" s="1" t="inlineStr">
        <is>
          <t>原始数据（全部来自公开信息）</t>
        </is>
      </c>
    </row>
    <row r="3" ht="22" customHeight="1">
      <c r="A3" s="3" t="inlineStr">
        <is>
          <t>一、发行方移动游戏单季收入（板块口径）</t>
        </is>
      </c>
    </row>
    <row r="4" ht="26" customHeight="1">
      <c r="A4" s="4" t="inlineStr">
        <is>
          <t>期间</t>
        </is>
      </c>
      <c r="B4" s="4" t="inlineStr">
        <is>
          <t>单季收入（亿元）</t>
        </is>
      </c>
      <c r="C4" s="4" t="inlineStr">
        <is>
          <t>来源</t>
        </is>
      </c>
      <c r="D4" s="4" t="inlineStr">
        <is>
          <t>备注</t>
        </is>
      </c>
    </row>
    <row r="5" ht="21" customHeight="1">
      <c r="A5" s="13" t="inlineStr">
        <is>
          <t>2024 Q3</t>
        </is>
      </c>
      <c r="B5" s="14" t="n">
        <v>18.2</v>
      </c>
      <c r="C5" s="13" t="inlineStr">
        <is>
          <t>哔哩哔哩定期报告</t>
        </is>
      </c>
      <c r="D5" s="13" t="inlineStr">
        <is>
          <t>含三谋及其他产品</t>
        </is>
      </c>
    </row>
    <row r="6" ht="21" customHeight="1">
      <c r="A6" s="16" t="inlineStr">
        <is>
          <t>2024 Q4</t>
        </is>
      </c>
      <c r="B6" s="17" t="n">
        <v>17.9</v>
      </c>
      <c r="C6" s="16" t="inlineStr">
        <is>
          <t>哔哩哔哩定期报告</t>
        </is>
      </c>
      <c r="D6" s="16" t="inlineStr">
        <is>
          <t>含三谋及其他产品</t>
        </is>
      </c>
    </row>
    <row r="7" ht="21" customHeight="1">
      <c r="A7" s="13" t="inlineStr">
        <is>
          <t>2025 Q1</t>
        </is>
      </c>
      <c r="B7" s="14" t="n">
        <v>17.3</v>
      </c>
      <c r="C7" s="13" t="inlineStr">
        <is>
          <t>哔哩哔哩定期报告</t>
        </is>
      </c>
      <c r="D7" s="13" t="inlineStr">
        <is>
          <t>含三谋及其他产品</t>
        </is>
      </c>
    </row>
    <row r="8" ht="21" customHeight="1">
      <c r="A8" s="16" t="inlineStr">
        <is>
          <t>2025 Q2</t>
        </is>
      </c>
      <c r="B8" s="17" t="n">
        <v>16.1</v>
      </c>
      <c r="C8" s="16" t="inlineStr">
        <is>
          <t>哔哩哔哩定期报告</t>
        </is>
      </c>
      <c r="D8" s="16" t="inlineStr">
        <is>
          <t>含三谋及其他产品</t>
        </is>
      </c>
    </row>
    <row r="9" ht="21" customHeight="1">
      <c r="A9" s="13" t="inlineStr">
        <is>
          <t>2025 Q3</t>
        </is>
      </c>
      <c r="B9" s="14" t="n">
        <v>15.1</v>
      </c>
      <c r="C9" s="13" t="inlineStr">
        <is>
          <t>哔哩哔哩定期报告</t>
        </is>
      </c>
      <c r="D9" s="13" t="inlineStr">
        <is>
          <t>含三谋及其他产品</t>
        </is>
      </c>
    </row>
    <row r="10" ht="21" customHeight="1">
      <c r="A10" s="16" t="inlineStr">
        <is>
          <t>2025 Q4</t>
        </is>
      </c>
      <c r="B10" s="17" t="n">
        <v>15.4</v>
      </c>
      <c r="C10" s="16" t="inlineStr">
        <is>
          <t>哔哩哔哩定期报告</t>
        </is>
      </c>
      <c r="D10" s="16" t="inlineStr">
        <is>
          <t>含三谋及其他产品</t>
        </is>
      </c>
    </row>
    <row r="11" ht="21" customHeight="1">
      <c r="A11" s="13" t="inlineStr">
        <is>
          <t>2026 Q1</t>
        </is>
      </c>
      <c r="B11" s="14" t="n">
        <v>15.2</v>
      </c>
      <c r="C11" s="13" t="inlineStr">
        <is>
          <t>哔哩哔哩定期报告</t>
        </is>
      </c>
      <c r="D11" s="13" t="inlineStr">
        <is>
          <t>同比 −12%</t>
        </is>
      </c>
    </row>
    <row r="12" ht="21" customHeight="1">
      <c r="A12" s="16" t="inlineStr">
        <is>
          <t>2026 Q2</t>
        </is>
      </c>
      <c r="B12" s="17" t="n">
        <v>13.9</v>
      </c>
      <c r="C12" s="16" t="inlineStr">
        <is>
          <t>哔哩哔哩定期报告</t>
        </is>
      </c>
      <c r="D12" s="16" t="inlineStr">
        <is>
          <t>同比 −14%</t>
        </is>
      </c>
    </row>
    <row r="14" ht="22" customHeight="1">
      <c r="A14" s="3" t="inlineStr">
        <is>
          <t>二、赛季节点与榜单表现</t>
        </is>
      </c>
    </row>
    <row r="15" ht="26" customHeight="1">
      <c r="A15" s="4" t="inlineStr">
        <is>
          <t>时间</t>
        </is>
      </c>
      <c r="B15" s="4" t="inlineStr">
        <is>
          <t>剧本或动作</t>
        </is>
      </c>
      <c r="C15" s="4" t="inlineStr">
        <is>
          <t>榜单表现</t>
        </is>
      </c>
      <c r="D15" s="4" t="inlineStr">
        <is>
          <t>流水变化</t>
        </is>
      </c>
    </row>
    <row r="16" ht="21" customHeight="1">
      <c r="A16" s="13" t="inlineStr">
        <is>
          <t>2024-06-13</t>
        </is>
      </c>
      <c r="B16" s="13" t="inlineStr">
        <is>
          <t>公测</t>
        </is>
      </c>
      <c r="C16" s="13" t="inlineStr">
        <is>
          <t>—</t>
        </is>
      </c>
      <c r="D16" s="13" t="inlineStr">
        <is>
          <t>带动发行方游戏业务显著改善</t>
        </is>
      </c>
    </row>
    <row r="17" ht="21" customHeight="1">
      <c r="A17" s="16" t="inlineStr">
        <is>
          <t>2025-05</t>
        </is>
      </c>
      <c r="B17" s="16" t="inlineStr">
        <is>
          <t>隆中对版本</t>
        </is>
      </c>
      <c r="C17" s="16" t="inlineStr">
        <is>
          <t>畅销榜第 2 名</t>
        </is>
      </c>
      <c r="D17" s="16" t="inlineStr">
        <is>
          <t>当年度 SLG 品类最高排名</t>
        </is>
      </c>
    </row>
    <row r="18" ht="21" customHeight="1">
      <c r="A18" s="13" t="inlineStr">
        <is>
          <t>2025 全年</t>
        </is>
      </c>
      <c r="B18" s="13" t="inlineStr">
        <is>
          <t>持续赛季迭代</t>
        </is>
      </c>
      <c r="C18" s="13" t="inlineStr">
        <is>
          <t>7 次进入 TOP5</t>
        </is>
      </c>
      <c r="D18" s="13" t="inlineStr">
        <is>
          <t>—</t>
        </is>
      </c>
    </row>
    <row r="19" ht="21" customHeight="1">
      <c r="A19" s="16" t="inlineStr">
        <is>
          <t>2026-06-06</t>
        </is>
      </c>
      <c r="B19" s="16" t="inlineStr">
        <is>
          <t>赤壁惊涛（2 周年）</t>
        </is>
      </c>
      <c r="C19" s="16" t="inlineStr">
        <is>
          <t>畅销榜第 2 名</t>
        </is>
      </c>
      <c r="D19" s="16" t="inlineStr">
        <is>
          <t>单日流水 +509%，超 270 万美元</t>
        </is>
      </c>
    </row>
    <row r="20" ht="21" customHeight="1">
      <c r="A20" s="13" t="inlineStr">
        <is>
          <t>2026-07-25</t>
        </is>
      </c>
      <c r="B20" s="13" t="inlineStr">
        <is>
          <t>武侯遗志</t>
        </is>
      </c>
      <c r="C20" s="13" t="inlineStr">
        <is>
          <t>畅销总榜第 8 名</t>
        </is>
      </c>
      <c r="D20" s="13" t="inlineStr">
        <is>
          <t>单日排名 +94 位，当日约 36.8 万美元</t>
        </is>
      </c>
    </row>
    <row r="22" ht="22" customHeight="1">
      <c r="A22" s="3" t="inlineStr">
        <is>
          <t>三、口径说明</t>
        </is>
      </c>
    </row>
    <row r="23" ht="18" customHeight="1">
      <c r="A23" s="22" t="inlineStr">
        <is>
          <t>① 平台季度收入为发行方移动游戏板块整体，含三谋之外的产品，不能当作单产品流水。</t>
        </is>
      </c>
    </row>
    <row r="24" ht="18" customHeight="1">
      <c r="A24" s="22" t="inlineStr">
        <is>
          <t>② 两个单日流水数据来自不同第三方机构，统计范围不一致（前者含全球，后者以单一市场为主），绝对值不可直接比较。</t>
        </is>
      </c>
    </row>
    <row r="25" ht="18" customHeight="1">
      <c r="A25" s="22" t="inlineStr">
        <is>
          <t>③ 本表仅使用公开信息，未使用任何非公开数据。</t>
        </is>
      </c>
    </row>
  </sheetData>
  <mergeCells count="4">
    <mergeCell ref="A23:D23"/>
    <mergeCell ref="A1:E1"/>
    <mergeCell ref="A24:D24"/>
    <mergeCell ref="A25:D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6" customWidth="1" min="5" max="5"/>
  </cols>
  <sheetData>
    <row r="1" ht="30" customHeight="1">
      <c r="A1" s="1" t="inlineStr">
        <is>
          <t>计算过程（环比、区间变化与脉冲模型）</t>
        </is>
      </c>
    </row>
    <row r="3">
      <c r="A3" s="2" t="inlineStr">
        <is>
          <t>说明：环比与区间统计均由汇总表的原始数值推导。</t>
        </is>
      </c>
    </row>
    <row r="5" ht="26" customHeight="1">
      <c r="A5" s="4" t="inlineStr">
        <is>
          <t>期间</t>
        </is>
      </c>
      <c r="B5" s="4" t="inlineStr">
        <is>
          <t>单季收入（亿元）</t>
        </is>
      </c>
      <c r="C5" s="4" t="inlineStr">
        <is>
          <t>环比</t>
        </is>
      </c>
      <c r="D5" s="4" t="inlineStr">
        <is>
          <t>累计变化（对起点）</t>
        </is>
      </c>
      <c r="E5" s="4" t="inlineStr">
        <is>
          <t>说明</t>
        </is>
      </c>
    </row>
    <row r="6" ht="21" customHeight="1">
      <c r="A6" s="13" t="str">
        <f>汇总看板!A13</f>
        <v>2024 Q3</v>
      </c>
      <c r="B6" s="14">
        <f>汇总看板!B13</f>
        <v>18.2</v>
      </c>
      <c r="C6" s="15" t="inlineStr">
        <is>
          <t>—</t>
        </is>
      </c>
      <c r="D6" s="23">
        <f>IF(OR(B6="",B6=0),"",B6/B6-1)</f>
        <v>0.0</v>
      </c>
      <c r="E6" s="13" t="inlineStr">
        <is>
          <t>区间起点</t>
        </is>
      </c>
    </row>
    <row r="7" ht="21" customHeight="1">
      <c r="A7" s="16" t="str">
        <f>汇总看板!A14</f>
        <v>2024 Q4</v>
      </c>
      <c r="B7" s="17">
        <f>汇总看板!B14</f>
        <v>17.9</v>
      </c>
      <c r="C7" s="15">
        <f>IF(OR(B6="",B6=0),"",B7/B6-1)</f>
        <v>-0.016483516483516536</v>
      </c>
      <c r="D7" s="23">
        <f>IF(OR(B6="",B6=0),"",B7/B6-1)</f>
        <v>-0.016483516483516536</v>
      </c>
      <c r="E7" s="16" t="inlineStr"/>
    </row>
    <row r="8" ht="21" customHeight="1">
      <c r="A8" s="13" t="str">
        <f>汇总看板!A15</f>
        <v>2025 Q1</v>
      </c>
      <c r="B8" s="14">
        <f>汇总看板!B15</f>
        <v>17.3</v>
      </c>
      <c r="C8" s="15">
        <f>IF(OR(B7="",B7=0),"",B8/B7-1)</f>
        <v>-0.03351955307262555</v>
      </c>
      <c r="D8" s="23">
        <f>IF(OR(B6="",B6=0),"",B8/B6-1)</f>
        <v>-0.049450549450549386</v>
      </c>
      <c r="E8" s="13" t="inlineStr"/>
    </row>
    <row r="9" ht="21" customHeight="1">
      <c r="A9" s="16" t="str">
        <f>汇总看板!A16</f>
        <v>2025 Q2</v>
      </c>
      <c r="B9" s="17">
        <f>汇总看板!B16</f>
        <v>16.1</v>
      </c>
      <c r="C9" s="15">
        <f>IF(OR(B8="",B8=0),"",B9/B8-1)</f>
        <v>-0.06936416184971095</v>
      </c>
      <c r="D9" s="23">
        <f>IF(OR(B6="",B6=0),"",B9/B6-1)</f>
        <v>-0.11538461538461531</v>
      </c>
      <c r="E9" s="16" t="inlineStr"/>
    </row>
    <row r="10" ht="21" customHeight="1">
      <c r="A10" s="13" t="str">
        <f>汇总看板!A17</f>
        <v>2025 Q3</v>
      </c>
      <c r="B10" s="14">
        <f>汇总看板!B17</f>
        <v>15.1</v>
      </c>
      <c r="C10" s="15">
        <f>IF(OR(B9="",B9=0),"",B10/B9-1)</f>
        <v>-0.06211180124223614</v>
      </c>
      <c r="D10" s="23">
        <f>IF(OR(B6="",B6=0),"",B10/B6-1)</f>
        <v>-0.17032967032967028</v>
      </c>
      <c r="E10" s="13" t="inlineStr"/>
    </row>
    <row r="11" ht="21" customHeight="1">
      <c r="A11" s="16" t="str">
        <f>汇总看板!A18</f>
        <v>2025 Q4</v>
      </c>
      <c r="B11" s="17">
        <f>汇总看板!B18</f>
        <v>15.4</v>
      </c>
      <c r="C11" s="15">
        <f>IF(OR(B10="",B10=0),"",B11/B10-1)</f>
        <v>0.019867549668874274</v>
      </c>
      <c r="D11" s="23">
        <f>IF(OR(B6="",B6=0),"",B11/B6-1)</f>
        <v>-0.15384615384615374</v>
      </c>
      <c r="E11" s="16" t="inlineStr">
        <is>
          <t>全区间唯一回升</t>
        </is>
      </c>
    </row>
    <row r="12" ht="21" customHeight="1">
      <c r="A12" s="13" t="str">
        <f>汇总看板!A19</f>
        <v>2026 Q1</v>
      </c>
      <c r="B12" s="14">
        <f>汇总看板!B19</f>
        <v>15.2</v>
      </c>
      <c r="C12" s="15">
        <f>IF(OR(B11="",B11=0),"",B12/B11-1)</f>
        <v>-0.012987012987013102</v>
      </c>
      <c r="D12" s="23">
        <f>IF(OR(B6="",B6=0),"",B12/B6-1)</f>
        <v>-0.1648351648351648</v>
      </c>
      <c r="E12" s="13" t="inlineStr"/>
    </row>
    <row r="13" ht="21" customHeight="1">
      <c r="A13" s="16" t="str">
        <f>汇总看板!A20</f>
        <v>2026 Q2</v>
      </c>
      <c r="B13" s="17">
        <f>汇总看板!B20</f>
        <v>13.9</v>
      </c>
      <c r="C13" s="15">
        <f>IF(OR(B12="",B12=0),"",B13/B12-1)</f>
        <v>-0.08552631578947367</v>
      </c>
      <c r="D13" s="23">
        <f>IF(OR(B6="",B6=0),"",B13/B6-1)</f>
        <v>-0.2362637362637362</v>
      </c>
      <c r="E13" s="16" t="inlineStr"/>
    </row>
    <row r="15" ht="22" customHeight="1">
      <c r="A15" s="3" t="inlineStr">
        <is>
          <t>区间统计</t>
        </is>
      </c>
    </row>
    <row r="16" ht="26" customHeight="1">
      <c r="A16" s="4" t="inlineStr">
        <is>
          <t>指标</t>
        </is>
      </c>
      <c r="B16" s="4" t="inlineStr">
        <is>
          <t>数值</t>
        </is>
      </c>
      <c r="C16" s="4" t="inlineStr">
        <is>
          <t>计算说明</t>
        </is>
      </c>
    </row>
    <row r="17" ht="23" customHeight="1">
      <c r="A17" s="24" t="inlineStr">
        <is>
          <t>区间累计变化</t>
        </is>
      </c>
      <c r="B17" s="25">
        <f>IF(OR(B6="",B6=0),"",B13/B6-1)</f>
        <v>-0.2362637362637362</v>
      </c>
      <c r="C17" s="26" t="inlineStr">
        <is>
          <t>末季 / 起点 − 1</t>
        </is>
      </c>
    </row>
    <row r="18" ht="23" customHeight="1">
      <c r="A18" s="24" t="inlineStr">
        <is>
          <t>最大单季跌幅</t>
        </is>
      </c>
      <c r="B18" s="25">
        <f>MIN(C7:C13)</f>
        <v>-0.08552631578947367</v>
      </c>
      <c r="C18" s="26" t="inlineStr">
        <is>
          <t>八个季度中环比最低值</t>
        </is>
      </c>
    </row>
    <row r="19" ht="23" customHeight="1">
      <c r="A19" s="24" t="inlineStr">
        <is>
          <t>平均单季变化</t>
        </is>
      </c>
      <c r="B19" s="25">
        <f>AVERAGE(C7:C13)</f>
        <v>-0.03716068739367167</v>
      </c>
      <c r="C19" s="26" t="inlineStr">
        <is>
          <t>七个环比值的均值</t>
        </is>
      </c>
    </row>
    <row r="20" ht="23" customHeight="1">
      <c r="A20" s="24" t="inlineStr">
        <is>
          <t>回升季度数</t>
        </is>
      </c>
      <c r="B20" s="27">
        <f>COUNTIF(C7:C13,"&gt;0")</f>
        <v>1.0</v>
      </c>
      <c r="C20" s="26" t="inlineStr">
        <is>
          <t>环比为正的季度个数</t>
        </is>
      </c>
    </row>
    <row r="21" ht="23" customHeight="1">
      <c r="A21" s="24" t="inlineStr">
        <is>
          <t>下跌季度数</t>
        </is>
      </c>
      <c r="B21" s="27">
        <f>COUNTIF(C7:C13,"&lt;0")</f>
        <v>6.0</v>
      </c>
      <c r="C21" s="26" t="inlineStr">
        <is>
          <t>环比为负的季度个数</t>
        </is>
      </c>
    </row>
  </sheetData>
  <mergeCells count="2">
    <mergeCell ref="A1:E1"/>
    <mergeCell ref="A3:E3"/>
  </mergeCells>
  <conditionalFormatting sqref="C7:C13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三国谋定天下 数据运营分析</dc:title>
  <dcterms:created xmlns:dcterms="http://purl.org/dc/terms/" xmlns:xsi="http://www.w3.org/2001/XMLSchema-instance" xsi:type="dcterms:W3CDTF">2026-09-17T03:14:16Z</dcterms:created>
  <dcterms:modified xmlns:dcterms="http://purl.org/dc/terms/" xmlns:xsi="http://www.w3.org/2001/XMLSchema-instance" xsi:type="dcterms:W3CDTF">2026-09-17T03:14:16Z</dcterms:modified>
</cp:coreProperties>
</file>
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看板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计算过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Microsoft YaHei"/>
      <b val="1"/>
      <color rgb="FF1B1F1E"/>
      <sz val="16"/>
    </font>
    <font>
      <name val="Microsoft YaHei"/>
      <color rgb="FF747C79"/>
      <sz val="9.5"/>
    </font>
    <font>
      <name val="Microsoft YaHei"/>
      <b val="1"/>
      <color rgb="FF2F5D5B"/>
      <sz val="11.5"/>
    </font>
    <font>
      <name val="Microsoft YaHei"/>
      <b val="1"/>
      <color rgb="FFFFFFFF"/>
      <sz val="10.5"/>
    </font>
    <font>
      <name val="Microsoft YaHei"/>
      <color rgb="FF434A48"/>
      <sz val="10"/>
    </font>
    <font>
      <name val="Microsoft YaHei"/>
      <b val="1"/>
      <color rgb="FF2F5D5B"/>
      <sz val="13"/>
    </font>
    <font>
      <name val="Microsoft YaHei"/>
      <color rgb="FF747C79"/>
      <sz val="9"/>
    </font>
    <font>
      <name val="Microsoft YaHei"/>
      <b val="1"/>
      <color rgb="FF1B1F1E"/>
      <sz val="10"/>
    </font>
  </fonts>
  <fills count="7">
    <fill>
      <patternFill/>
    </fill>
    <fill>
      <patternFill patternType="gray125"/>
    </fill>
    <fill>
      <patternFill patternType="solid">
        <fgColor rgb="FF2F5D5B"/>
      </patternFill>
    </fill>
    <fill>
      <patternFill patternType="solid">
        <fgColor rgb="FFEAF2F0"/>
      </patternFill>
    </fill>
    <fill>
      <patternFill patternType="solid">
        <fgColor rgb="FFF4F8F6"/>
      </patternFill>
    </fill>
    <fill>
      <patternFill patternType="solid">
        <fgColor rgb="FFEDF3F1"/>
      </patternFill>
    </fill>
    <fill>
      <patternFill patternType="solid">
        <fgColor rgb="FF1F4442"/>
      </patternFill>
    </fill>
  </fills>
  <borders count="3">
    <border>
      <left/>
      <right/>
      <top/>
      <bottom/>
      <diagonal/>
    </border>
    <border>
      <bottom style="thin">
        <color rgb="FF1F4442"/>
      </bottom>
    </border>
    <border>
      <bottom style="thin">
        <color rgb="FFD9E4E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2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/>
    </xf>
    <xf numFmtId="1" fontId="6" fillId="4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wrapText="1"/>
    </xf>
    <xf numFmtId="4" fontId="5" fillId="0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left" vertical="center" wrapText="1"/>
    </xf>
    <xf numFmtId="164" fontId="8" fillId="5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wrapText="1"/>
    </xf>
    <xf numFmtId="4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0" fontId="5" fillId="0" borderId="2" pivotButton="0" quotePrefix="0" xfId="0"/>
    <xf numFmtId="0" fontId="8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0" borderId="0" pivotButton="0" quotePrefix="0" xfId="0"/>
    <xf numFmtId="0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4" fontId="8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Microsoft YaHei"/>
        <b val="1"/>
        <color rgb="FFA83A2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年单季流水（亿元）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'汇总看板'!C11</f>
            </strRef>
          </tx>
          <spPr>
            <a:solidFill xmlns:a="http://schemas.openxmlformats.org/drawingml/2006/main">
              <a:srgbClr val="2F5D5B"/>
            </a:solidFill>
            <a:ln xmlns:a="http://schemas.openxmlformats.org/drawingml/2006/main">
              <a:prstDash val="solid"/>
            </a:ln>
          </spPr>
          <cat>
            <strRef>
              <f>'汇总看板'!$A$12:$A$15</f>
            </strRef>
          </cat>
          <val>
            <numRef>
              <f>'汇总看板'!$C$12:$C$15</f>
            </numRef>
          </val>
        </ser>
        <dLbls>
          <showLegendKey val="0"/>
          <showVal val="1"/>
          <showCatName val="0"/>
          <showSerName val="0"/>
        </dLbls>
        <gapWidth val="55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期间</a:t>
                </a:r>
              </a:p>
            </rich>
          </tx>
        </title>
        <numFmt formatCode="General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0" customWidth="1" min="4" max="4"/>
    <col width="11" customWidth="1" min="5" max="5"/>
    <col width="34" customWidth="1" min="6" max="6"/>
  </cols>
  <sheetData>
    <row r="1" ht="32" customHeight="1">
      <c r="A1" s="1" t="inlineStr">
        <is>
          <t>《问剑长生》数据运营分析 · 汇总</t>
        </is>
      </c>
    </row>
    <row r="2" ht="16" customHeight="1">
      <c r="A2" s="2" t="inlineStr">
        <is>
          <t>单季流水由累计口径还原 · 数据截至 2026-08 · 全部来自公开披露</t>
        </is>
      </c>
    </row>
    <row r="3" ht="22" customHeight="1">
      <c r="A3" s="3" t="inlineStr">
        <is>
          <t>核心指标</t>
        </is>
      </c>
    </row>
    <row r="4" ht="26" customHeight="1">
      <c r="A4" s="4" t="inlineStr">
        <is>
          <t>指标</t>
        </is>
      </c>
      <c r="B4" s="4" t="inlineStr">
        <is>
          <t>数值</t>
        </is>
      </c>
      <c r="C4" s="4" t="inlineStr">
        <is>
          <t>说明</t>
        </is>
      </c>
    </row>
    <row r="5" ht="23" customHeight="1">
      <c r="A5" s="5" t="inlineStr">
        <is>
          <t>2025 全年流水（亿元）</t>
        </is>
      </c>
      <c r="B5" s="6">
        <f>C16</f>
        <v>8.24</v>
      </c>
      <c r="C5" s="7" t="inlineStr">
        <is>
          <t>大陆版，财报口径</t>
        </is>
      </c>
    </row>
    <row r="6" ht="23" customHeight="1">
      <c r="A6" s="5" t="inlineStr">
        <is>
          <t>Q1 至 Q4 衰减幅度</t>
        </is>
      </c>
      <c r="B6" s="8">
        <f>IF(OR(C12="",C12=0),"",C15/C12-1)</f>
        <v>-0.6942148760330578</v>
      </c>
      <c r="C6" s="9" t="inlineStr">
        <is>
          <t>单季还原后计算</t>
        </is>
      </c>
    </row>
    <row r="7" ht="23" customHeight="1">
      <c r="A7" s="5" t="inlineStr">
        <is>
          <t>首发季度收入占比</t>
        </is>
      </c>
      <c r="B7" s="10">
        <f>IF(OR(C16="",C16=0),"",C12/C16)</f>
        <v>0.44053398058252424</v>
      </c>
      <c r="C7" s="7" t="inlineStr">
        <is>
          <t>Q1 占全年比重</t>
        </is>
      </c>
    </row>
    <row r="8" ht="23" customHeight="1">
      <c r="A8" s="5" t="inlineStr">
        <is>
          <t>峰值后连续下滑季度数</t>
        </is>
      </c>
      <c r="B8" s="11">
        <f>COUNTIF(D13:D15,"&lt;0")</f>
        <v>3.0</v>
      </c>
      <c r="C8" s="9" t="inlineStr">
        <is>
          <t>Q2 起环比连续为负</t>
        </is>
      </c>
    </row>
    <row r="10" ht="22" customHeight="1">
      <c r="A10" s="3" t="inlineStr">
        <is>
          <t>2025 年单季流水（由累计口径还原）</t>
        </is>
      </c>
    </row>
    <row r="11" ht="26" customHeight="1">
      <c r="A11" s="4" t="inlineStr">
        <is>
          <t>期间</t>
        </is>
      </c>
      <c r="B11" s="4" t="inlineStr">
        <is>
          <t>累计流水（亿元）</t>
        </is>
      </c>
      <c r="C11" s="4" t="inlineStr">
        <is>
          <t>单季流水（亿元）</t>
        </is>
      </c>
      <c r="D11" s="4" t="inlineStr">
        <is>
          <t>环比</t>
        </is>
      </c>
      <c r="E11" s="4" t="inlineStr">
        <is>
          <t>占全年比</t>
        </is>
      </c>
      <c r="F11" s="4" t="inlineStr">
        <is>
          <t>说明</t>
        </is>
      </c>
    </row>
    <row r="12" ht="21" customHeight="1">
      <c r="A12" s="12" t="inlineStr">
        <is>
          <t>2025 Q1</t>
        </is>
      </c>
      <c r="B12" s="13" t="n">
        <v>3.63</v>
      </c>
      <c r="C12" s="14">
        <f>B12</f>
        <v>3.63</v>
      </c>
      <c r="D12" s="15" t="inlineStr">
        <is>
          <t>—</t>
        </is>
      </c>
      <c r="E12" s="16">
        <f>IF(OR($C$16="",$C$16=0),"",C12/$C$16)</f>
        <v>0.44053398058252424</v>
      </c>
      <c r="F12" s="12" t="inlineStr">
        <is>
          <t>首发季度，含公测首月冲高</t>
        </is>
      </c>
    </row>
    <row r="13" ht="21" customHeight="1">
      <c r="A13" s="17" t="inlineStr">
        <is>
          <t>2025 Q2</t>
        </is>
      </c>
      <c r="B13" s="18" t="n">
        <v>5.66</v>
      </c>
      <c r="C13" s="14">
        <f>B13-B12</f>
        <v>2.0300000000000002</v>
      </c>
      <c r="D13" s="15">
        <f>IF(OR(C12="",C12=0),"",C13/C12-1)</f>
        <v>-0.44077134986225885</v>
      </c>
      <c r="E13" s="16">
        <f>IF(OR($C$16="",$C$16=0),"",C13/$C$16)</f>
        <v>0.2463592233009709</v>
      </c>
      <c r="F13" s="17" t="inlineStr">
        <is>
          <t>同门《杖剑传说》5 月末上线</t>
        </is>
      </c>
    </row>
    <row r="14" ht="21" customHeight="1">
      <c r="A14" s="12" t="inlineStr">
        <is>
          <t>2025 Q3</t>
        </is>
      </c>
      <c r="B14" s="13" t="n">
        <v>7.13</v>
      </c>
      <c r="C14" s="14">
        <f>B14-B13</f>
        <v>1.4699999999999998</v>
      </c>
      <c r="D14" s="15">
        <f>IF(OR(C13="",C13=0),"",C14/C13-1)</f>
        <v>-0.27586206896551746</v>
      </c>
      <c r="E14" s="16">
        <f>IF(OR($C$16="",$C$16=0),"",C14/$C$16)</f>
        <v>0.17839805825242716</v>
      </c>
      <c r="F14" s="12" t="inlineStr">
        <is>
          <t>《哪吒传奇》联动于 7 月上线</t>
        </is>
      </c>
    </row>
    <row r="15" ht="21" customHeight="1">
      <c r="A15" s="17" t="inlineStr">
        <is>
          <t>2025 Q4</t>
        </is>
      </c>
      <c r="B15" s="18" t="n">
        <v>8.24</v>
      </c>
      <c r="C15" s="14">
        <f>B15-B14</f>
        <v>1.1100000000000003</v>
      </c>
      <c r="D15" s="15">
        <f>IF(OR(C14="",C14=0),"",C15/C14-1)</f>
        <v>-0.24489795918367308</v>
      </c>
      <c r="E15" s="16">
        <f>IF(OR($C$16="",$C$16=0),"",C15/$C$16)</f>
        <v>0.1347087378640777</v>
      </c>
      <c r="F15" s="17" t="inlineStr">
        <is>
          <t>11 月末出海中国港澳台、韩国</t>
        </is>
      </c>
    </row>
    <row r="16" ht="24" customHeight="1">
      <c r="A16" s="19" t="inlineStr">
        <is>
          <t>合计</t>
        </is>
      </c>
      <c r="B16" s="20">
        <f>B15</f>
        <v>8.24</v>
      </c>
      <c r="C16" s="20">
        <f>SUM(C12:C15)</f>
        <v>8.24</v>
      </c>
      <c r="D16" s="21" t="inlineStr">
        <is>
          <t>—</t>
        </is>
      </c>
      <c r="E16" s="22">
        <f>SUM(E12:E15)</f>
        <v>1.0</v>
      </c>
      <c r="F16" s="19" t="inlineStr">
        <is>
          <t>四季度加总</t>
        </is>
      </c>
    </row>
    <row r="17" ht="21" customHeight="1">
      <c r="A17" s="23" t="inlineStr">
        <is>
          <t>校验</t>
        </is>
      </c>
      <c r="B17" s="24" t="str">
        <f>IF(ROUND(C16-B15,2)=0,"通过：四季度还原值加总与年报一致","不一致，需检查")</f>
        <v>通过：四季度还原值加总与年报一致</v>
      </c>
      <c r="C17" s="25" t="n"/>
      <c r="D17" s="25" t="n"/>
      <c r="E17" s="25" t="n"/>
      <c r="F17" s="25" t="n"/>
    </row>
    <row r="19" ht="22" customHeight="1">
      <c r="A19" s="3" t="inlineStr">
        <is>
          <t>同门对照（同一家公司、同一年上线）</t>
        </is>
      </c>
    </row>
    <row r="20" ht="26" customHeight="1">
      <c r="A20" s="4" t="inlineStr">
        <is>
          <t>产品</t>
        </is>
      </c>
      <c r="B20" s="4" t="inlineStr">
        <is>
          <t>2025 全年流水（亿元）</t>
        </is>
      </c>
      <c r="C20" s="4" t="inlineStr">
        <is>
          <t>发行期销售费用同比增量</t>
        </is>
      </c>
      <c r="D20" s="4" t="inlineStr">
        <is>
          <t>出海时点（距上线）</t>
        </is>
      </c>
      <c r="E20" s="4" t="inlineStr">
        <is>
          <t>备注</t>
        </is>
      </c>
    </row>
    <row r="21" ht="21" customHeight="1">
      <c r="A21" s="12" t="inlineStr">
        <is>
          <t>问剑长生</t>
        </is>
      </c>
      <c r="B21" s="13" t="n">
        <v>8.24</v>
      </c>
      <c r="C21" s="12" t="inlineStr">
        <is>
          <t>约 0.66 亿元</t>
        </is>
      </c>
      <c r="D21" s="12" t="inlineStr">
        <is>
          <t>约 11 个月</t>
        </is>
      </c>
      <c r="E21" s="12" t="inlineStr">
        <is>
          <t>发行首季度增量</t>
        </is>
      </c>
    </row>
    <row r="22" ht="21" customHeight="1">
      <c r="A22" s="17" t="inlineStr">
        <is>
          <t>杖剑传说</t>
        </is>
      </c>
      <c r="B22" s="18" t="n">
        <v>17.03</v>
      </c>
      <c r="C22" s="17" t="inlineStr">
        <is>
          <t>约 3.00 / 6.58 亿元</t>
        </is>
      </c>
      <c r="D22" s="17" t="inlineStr">
        <is>
          <t>约 1.5 个月</t>
        </is>
      </c>
      <c r="E22" s="17" t="inlineStr">
        <is>
          <t>Q2、Q3 两个季度增量</t>
        </is>
      </c>
    </row>
  </sheetData>
  <mergeCells count="3">
    <mergeCell ref="A2:F2"/>
    <mergeCell ref="B17:F17"/>
    <mergeCell ref="A1:F1"/>
  </mergeCells>
  <conditionalFormatting sqref="D13:D15">
    <cfRule type="cellIs" priority="1" operator="lessThan" dxfId="0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2" customWidth="1" min="4" max="4"/>
    <col width="26" customWidth="1" min="5" max="5"/>
  </cols>
  <sheetData>
    <row r="1" ht="30" customHeight="1">
      <c r="A1" s="26" t="inlineStr">
        <is>
          <t>原始数据（全部来自公开披露）</t>
        </is>
      </c>
    </row>
    <row r="3" ht="22" customHeight="1">
      <c r="A3" s="3" t="inlineStr">
        <is>
          <t>一、累计流水（官方披露）</t>
        </is>
      </c>
    </row>
    <row r="4" ht="26" customHeight="1">
      <c r="A4" s="4" t="inlineStr">
        <is>
          <t>期间</t>
        </is>
      </c>
      <c r="B4" s="4" t="inlineStr">
        <is>
          <t>累计流水（亿元）</t>
        </is>
      </c>
      <c r="C4" s="4" t="inlineStr">
        <is>
          <t>披露文件</t>
        </is>
      </c>
      <c r="D4" s="4" t="inlineStr">
        <is>
          <t>备注</t>
        </is>
      </c>
    </row>
    <row r="5" ht="21" customHeight="1">
      <c r="A5" s="12" t="inlineStr">
        <is>
          <t>2025 Q1（累计）</t>
        </is>
      </c>
      <c r="B5" s="13" t="n">
        <v>3.63</v>
      </c>
      <c r="C5" s="12" t="inlineStr">
        <is>
          <t>2025 年三季度报告</t>
        </is>
      </c>
      <c r="D5" s="12" t="inlineStr">
        <is>
          <t>公测季度，含首月冲高</t>
        </is>
      </c>
    </row>
    <row r="6" ht="21" customHeight="1">
      <c r="A6" s="17" t="inlineStr">
        <is>
          <t>2025 Q2（累计）</t>
        </is>
      </c>
      <c r="B6" s="18" t="n">
        <v>5.66</v>
      </c>
      <c r="C6" s="17" t="inlineStr">
        <is>
          <t>2025 年三季度报告</t>
        </is>
      </c>
      <c r="D6" s="17" t="inlineStr">
        <is>
          <t>累计值，非单季</t>
        </is>
      </c>
    </row>
    <row r="7" ht="21" customHeight="1">
      <c r="A7" s="12" t="inlineStr">
        <is>
          <t>2025 Q3（累计）</t>
        </is>
      </c>
      <c r="B7" s="13" t="n">
        <v>7.13</v>
      </c>
      <c r="C7" s="12" t="inlineStr">
        <is>
          <t>2025 年三季度报告</t>
        </is>
      </c>
      <c r="D7" s="12" t="inlineStr">
        <is>
          <t>累计值，非单季</t>
        </is>
      </c>
    </row>
    <row r="8" ht="21" customHeight="1">
      <c r="A8" s="17" t="inlineStr">
        <is>
          <t>2025 全年</t>
        </is>
      </c>
      <c r="B8" s="18" t="n">
        <v>8.24</v>
      </c>
      <c r="C8" s="17" t="inlineStr">
        <is>
          <t>2025 年年度报告</t>
        </is>
      </c>
      <c r="D8" s="17" t="inlineStr">
        <is>
          <t>用于交叉校验</t>
        </is>
      </c>
    </row>
    <row r="10" ht="22" customHeight="1">
      <c r="A10" s="3" t="inlineStr">
        <is>
          <t>二、销售费用（公司整体口径）</t>
        </is>
      </c>
    </row>
    <row r="11" ht="26" customHeight="1">
      <c r="A11" s="4" t="inlineStr">
        <is>
          <t>产品</t>
        </is>
      </c>
      <c r="B11" s="4" t="inlineStr">
        <is>
          <t>期间</t>
        </is>
      </c>
      <c r="C11" s="4" t="inlineStr">
        <is>
          <t>销售费用同比增量（亿元）</t>
        </is>
      </c>
      <c r="D11" s="4" t="inlineStr">
        <is>
          <t>说明</t>
        </is>
      </c>
    </row>
    <row r="12" ht="21" customHeight="1">
      <c r="A12" s="12" t="inlineStr">
        <is>
          <t>问剑长生</t>
        </is>
      </c>
      <c r="B12" s="12" t="inlineStr">
        <is>
          <t>发行首季度</t>
        </is>
      </c>
      <c r="C12" s="13" t="n">
        <v>0.66</v>
      </c>
      <c r="D12" s="12" t="inlineStr">
        <is>
          <t>公司整体口径，方向性对比</t>
        </is>
      </c>
    </row>
    <row r="13" ht="21" customHeight="1">
      <c r="A13" s="17" t="inlineStr">
        <is>
          <t>杖剑传说</t>
        </is>
      </c>
      <c r="B13" s="17" t="inlineStr">
        <is>
          <t>2025 Q2</t>
        </is>
      </c>
      <c r="C13" s="18" t="n">
        <v>3</v>
      </c>
      <c r="D13" s="17" t="inlineStr">
        <is>
          <t>公司整体口径，方向性对比</t>
        </is>
      </c>
    </row>
    <row r="14" ht="21" customHeight="1">
      <c r="A14" s="12" t="inlineStr">
        <is>
          <t>杖剑传说</t>
        </is>
      </c>
      <c r="B14" s="12" t="inlineStr">
        <is>
          <t>2025 Q3</t>
        </is>
      </c>
      <c r="C14" s="13" t="n">
        <v>6.58</v>
      </c>
      <c r="D14" s="12" t="inlineStr">
        <is>
          <t>公司整体口径，方向性对比</t>
        </is>
      </c>
    </row>
    <row r="16" ht="22" customHeight="1">
      <c r="A16" s="3" t="inlineStr">
        <is>
          <t>三、出海实测（中国台湾地区 iOS 畅销榜，月度）</t>
        </is>
      </c>
    </row>
    <row r="17" ht="26" customHeight="1">
      <c r="A17" s="4" t="inlineStr">
        <is>
          <t>月份</t>
        </is>
      </c>
      <c r="B17" s="4" t="inlineStr">
        <is>
          <t>平均排名</t>
        </is>
      </c>
      <c r="C17" s="4" t="inlineStr">
        <is>
          <t>最佳排名</t>
        </is>
      </c>
      <c r="D17" s="4" t="inlineStr">
        <is>
          <t>月度估计营收（万美元）</t>
        </is>
      </c>
      <c r="E17" s="4" t="inlineStr">
        <is>
          <t>备注</t>
        </is>
      </c>
    </row>
    <row r="18" ht="21" customHeight="1">
      <c r="A18" s="12" t="inlineStr">
        <is>
          <t>2026-04</t>
        </is>
      </c>
      <c r="B18" s="27" t="n">
        <v>66</v>
      </c>
      <c r="C18" s="27" t="n">
        <v>37</v>
      </c>
      <c r="D18" s="28" t="n">
        <v>22.6</v>
      </c>
      <c r="E18" s="12" t="inlineStr">
        <is>
          <t>第三方推算，非官方</t>
        </is>
      </c>
    </row>
    <row r="19" ht="21" customHeight="1">
      <c r="A19" s="17" t="inlineStr">
        <is>
          <t>2026-05</t>
        </is>
      </c>
      <c r="B19" s="29" t="n">
        <v>76</v>
      </c>
      <c r="C19" s="29" t="n">
        <v>52</v>
      </c>
      <c r="D19" s="30" t="n">
        <v>19.9</v>
      </c>
      <c r="E19" s="17" t="inlineStr">
        <is>
          <t>第三方推算，非官方</t>
        </is>
      </c>
    </row>
    <row r="20" ht="21" customHeight="1">
      <c r="A20" s="12" t="inlineStr">
        <is>
          <t>2026-06</t>
        </is>
      </c>
      <c r="B20" s="27" t="n">
        <v>71</v>
      </c>
      <c r="C20" s="27" t="n">
        <v>57</v>
      </c>
      <c r="D20" s="28" t="n">
        <v>6.3</v>
      </c>
      <c r="E20" s="12" t="inlineStr">
        <is>
          <t>第三方推算，非官方</t>
        </is>
      </c>
    </row>
    <row r="21" ht="21" customHeight="1">
      <c r="A21" s="17" t="inlineStr">
        <is>
          <t>2026-07</t>
        </is>
      </c>
      <c r="B21" s="29" t="n">
        <v>75</v>
      </c>
      <c r="C21" s="29" t="n">
        <v>54</v>
      </c>
      <c r="D21" s="30" t="n">
        <v>5</v>
      </c>
      <c r="E21" s="17" t="inlineStr">
        <is>
          <t>第三方推算，非官方</t>
        </is>
      </c>
    </row>
    <row r="22" ht="21" customHeight="1">
      <c r="A22" s="12" t="inlineStr">
        <is>
          <t>2026-08</t>
        </is>
      </c>
      <c r="B22" s="27" t="n">
        <v>77</v>
      </c>
      <c r="C22" s="27" t="n">
        <v>49</v>
      </c>
      <c r="D22" s="28" t="n">
        <v>6.1</v>
      </c>
      <c r="E22" s="12" t="inlineStr">
        <is>
          <t>第三方推算，非官方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2" customWidth="1" min="4" max="4"/>
    <col width="12" customWidth="1" min="5" max="5"/>
    <col width="30" customWidth="1" min="6" max="6"/>
  </cols>
  <sheetData>
    <row r="1" ht="30" customHeight="1">
      <c r="A1" s="26" t="inlineStr">
        <is>
          <t>计算过程（单季还原与衰减率）</t>
        </is>
      </c>
    </row>
    <row r="3">
      <c r="A3" s="2" t="inlineStr">
        <is>
          <t>说明：公司披露的是累计流水，本表将其还原为单季流水。</t>
        </is>
      </c>
    </row>
    <row r="5" ht="26" customHeight="1">
      <c r="A5" s="4" t="inlineStr">
        <is>
          <t>期间</t>
        </is>
      </c>
      <c r="B5" s="4" t="inlineStr">
        <is>
          <t>累计流水（亿元）</t>
        </is>
      </c>
      <c r="C5" s="4" t="inlineStr">
        <is>
          <t>单季流水（亿元）</t>
        </is>
      </c>
      <c r="D5" s="4" t="inlineStr">
        <is>
          <t>环比</t>
        </is>
      </c>
      <c r="E5" s="4" t="inlineStr">
        <is>
          <t>占全年比</t>
        </is>
      </c>
      <c r="F5" s="4" t="inlineStr">
        <is>
          <t>计算说明</t>
        </is>
      </c>
    </row>
    <row r="6" ht="21" customHeight="1">
      <c r="A6" s="12" t="inlineStr">
        <is>
          <t>2025 Q1</t>
        </is>
      </c>
      <c r="B6" s="13" t="n">
        <v>3.63</v>
      </c>
      <c r="C6" s="31">
        <f>B6</f>
        <v>3.63</v>
      </c>
      <c r="D6" s="16" t="inlineStr">
        <is>
          <t>—</t>
        </is>
      </c>
      <c r="E6" s="32">
        <f>IF(OR($C$10="",$C$10=0),"",C6/$C$10)</f>
        <v>0.44053398058252424</v>
      </c>
      <c r="F6" s="12" t="inlineStr">
        <is>
          <t>累计值即单季</t>
        </is>
      </c>
    </row>
    <row r="7" ht="21" customHeight="1">
      <c r="A7" s="17" t="inlineStr">
        <is>
          <t>2025 Q2</t>
        </is>
      </c>
      <c r="B7" s="18" t="n">
        <v>5.66</v>
      </c>
      <c r="C7" s="31">
        <f>B7-B6</f>
        <v>2.0300000000000002</v>
      </c>
      <c r="D7" s="16">
        <f>IF(OR(C6="",C6=0),"",C7/C6-1)</f>
        <v>-0.44077134986225885</v>
      </c>
      <c r="E7" s="32">
        <f>IF(OR($C$10="",$C$10=0),"",C7/$C$10)</f>
        <v>0.2463592233009709</v>
      </c>
      <c r="F7" s="17" t="inlineStr">
        <is>
          <t>累计值相减</t>
        </is>
      </c>
    </row>
    <row r="8" ht="21" customHeight="1">
      <c r="A8" s="12" t="inlineStr">
        <is>
          <t>2025 Q3</t>
        </is>
      </c>
      <c r="B8" s="13" t="n">
        <v>7.13</v>
      </c>
      <c r="C8" s="31">
        <f>B8-B7</f>
        <v>1.4699999999999998</v>
      </c>
      <c r="D8" s="16">
        <f>IF(OR(C7="",C7=0),"",C8/C7-1)</f>
        <v>-0.27586206896551746</v>
      </c>
      <c r="E8" s="32">
        <f>IF(OR($C$10="",$C$10=0),"",C8/$C$10)</f>
        <v>0.17839805825242716</v>
      </c>
      <c r="F8" s="12" t="inlineStr">
        <is>
          <t>累计值相减</t>
        </is>
      </c>
    </row>
    <row r="9" ht="21" customHeight="1">
      <c r="A9" s="17" t="inlineStr">
        <is>
          <t>2025 Q4</t>
        </is>
      </c>
      <c r="B9" s="18" t="n">
        <v>8.24</v>
      </c>
      <c r="C9" s="31">
        <f>B9-B8</f>
        <v>1.1100000000000003</v>
      </c>
      <c r="D9" s="16">
        <f>IF(OR(C8="",C8=0),"",C9/C8-1)</f>
        <v>-0.24489795918367308</v>
      </c>
      <c r="E9" s="32">
        <f>IF(OR($C$10="",$C$10=0),"",C9/$C$10)</f>
        <v>0.1347087378640777</v>
      </c>
      <c r="F9" s="17" t="inlineStr">
        <is>
          <t>累计值相减</t>
        </is>
      </c>
    </row>
    <row r="10" ht="24" customHeight="1">
      <c r="A10" s="19" t="inlineStr">
        <is>
          <t>合计</t>
        </is>
      </c>
      <c r="B10" s="20">
        <f>B9</f>
        <v>8.24</v>
      </c>
      <c r="C10" s="20">
        <f>SUM(C6:C9)</f>
        <v>8.24</v>
      </c>
      <c r="D10" s="21" t="inlineStr">
        <is>
          <t>—</t>
        </is>
      </c>
      <c r="E10" s="22">
        <f>SUM(E6:E9)</f>
        <v>1.0</v>
      </c>
      <c r="F10" s="19" t="inlineStr">
        <is>
          <t>与年报全年数据核对</t>
        </is>
      </c>
    </row>
    <row r="11" ht="21" customHeight="1">
      <c r="A11" s="23" t="inlineStr">
        <is>
          <t>校验</t>
        </is>
      </c>
      <c r="B11" s="24" t="str">
        <f>IF(ROUND(C10-B9,2)=0,"通过：四季度加总与年报一致","不一致，需检查")</f>
        <v>通过：四季度加总与年报一致</v>
      </c>
      <c r="C11" s="25" t="n"/>
      <c r="D11" s="25" t="n"/>
      <c r="E11" s="25" t="n"/>
      <c r="F11" s="25" t="n"/>
    </row>
    <row r="13" ht="22" customHeight="1">
      <c r="A13" s="3" t="inlineStr">
        <is>
          <t>衰减分析</t>
        </is>
      </c>
    </row>
    <row r="14" ht="26" customHeight="1">
      <c r="A14" s="4" t="inlineStr">
        <is>
          <t>指标</t>
        </is>
      </c>
      <c r="B14" s="4" t="inlineStr">
        <is>
          <t>数值</t>
        </is>
      </c>
      <c r="C14" s="4" t="inlineStr">
        <is>
          <t>计算说明</t>
        </is>
      </c>
    </row>
    <row r="15" ht="23" customHeight="1">
      <c r="A15" s="33" t="inlineStr">
        <is>
          <t>Q1 至 Q4 累计衰减</t>
        </is>
      </c>
      <c r="B15" s="34">
        <f>IF(OR(C6="",C6=0),"",C9/C6-1)</f>
        <v>-0.6942148760330578</v>
      </c>
      <c r="C15" s="35" t="inlineStr">
        <is>
          <t>Q4 单季 / Q1 单季 − 1</t>
        </is>
      </c>
    </row>
    <row r="16" ht="23" customHeight="1">
      <c r="A16" s="33" t="inlineStr">
        <is>
          <t>最大单季跌幅</t>
        </is>
      </c>
      <c r="B16" s="34">
        <f>MIN(D7:D9)</f>
        <v>-0.44077134986225885</v>
      </c>
      <c r="C16" s="35" t="inlineStr">
        <is>
          <t>三个环比值中的最低值</t>
        </is>
      </c>
    </row>
    <row r="17" ht="23" customHeight="1">
      <c r="A17" s="33" t="inlineStr">
        <is>
          <t>平均单季跌幅</t>
        </is>
      </c>
      <c r="B17" s="34">
        <f>AVERAGE(D7:D9)</f>
        <v>-0.3205104593371498</v>
      </c>
      <c r="C17" s="35" t="inlineStr">
        <is>
          <t>Q2 至 Q4 环比均值</t>
        </is>
      </c>
    </row>
    <row r="18" ht="23" customHeight="1">
      <c r="A18" s="33" t="inlineStr">
        <is>
          <t>跌幅收窄幅度</t>
        </is>
      </c>
      <c r="B18" s="34">
        <f>IF(OR(D7="",D7=0),"",D9/D7-1)</f>
        <v>-0.44438775510204154</v>
      </c>
      <c r="C18" s="35" t="inlineStr">
        <is>
          <t>Q4 环比 / Q2 环比 − 1，负值表示收窄</t>
        </is>
      </c>
    </row>
  </sheetData>
  <mergeCells count="3">
    <mergeCell ref="A3:F3"/>
    <mergeCell ref="A1:F1"/>
    <mergeCell ref="B11:F11"/>
  </mergeCells>
  <conditionalFormatting sqref="D7:D9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问剑长生 数据运营分析</dc:title>
  <dcterms:created xmlns:dcterms="http://purl.org/dc/terms/" xmlns:xsi="http://www.w3.org/2001/XMLSchema-instance" xsi:type="dcterms:W3CDTF">2026-09-17T03:14:09Z</dcterms:created>
  <dcterms:modified xmlns:dcterms="http://purl.org/dc/terms/" xmlns:xsi="http://www.w3.org/2001/XMLSchema-instance" xsi:type="dcterms:W3CDTF">2026-09-17T03:14:09Z</dcterms:modified>
</cp:coreProperties>
</file>
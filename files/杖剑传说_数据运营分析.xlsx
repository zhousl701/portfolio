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看板" sheetId="1" state="visible" r:id="rId1"/>
    <sheet xmlns:r="http://schemas.openxmlformats.org/officeDocument/2006/relationships" name="原始数据" sheetId="2" state="visible" r:id="rId2"/>
    <sheet xmlns:r="http://schemas.openxmlformats.org/officeDocument/2006/relationships" name="计算过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Microsoft YaHei"/>
      <b val="1"/>
      <color rgb="FF1B1F1E"/>
      <sz val="16"/>
    </font>
    <font>
      <name val="Microsoft YaHei"/>
      <color rgb="FF747C79"/>
      <sz val="9.5"/>
    </font>
    <font>
      <name val="Microsoft YaHei"/>
      <b val="1"/>
      <color rgb="FF2F5D5B"/>
      <sz val="11.5"/>
    </font>
    <font>
      <name val="Microsoft YaHei"/>
      <b val="1"/>
      <color rgb="FFFFFFFF"/>
      <sz val="10.5"/>
    </font>
    <font>
      <name val="Microsoft YaHei"/>
      <color rgb="FF434A48"/>
      <sz val="10"/>
    </font>
    <font>
      <name val="Microsoft YaHei"/>
      <b val="1"/>
      <color rgb="FF2F5D5B"/>
      <sz val="13"/>
    </font>
    <font>
      <name val="Microsoft YaHei"/>
      <color rgb="FF747C79"/>
      <sz val="9"/>
    </font>
    <font>
      <name val="Microsoft YaHei"/>
      <b val="1"/>
      <color rgb="FF1B1F1E"/>
      <sz val="10"/>
    </font>
  </fonts>
  <fills count="7">
    <fill>
      <patternFill/>
    </fill>
    <fill>
      <patternFill patternType="gray125"/>
    </fill>
    <fill>
      <patternFill patternType="solid">
        <fgColor rgb="FF2F5D5B"/>
      </patternFill>
    </fill>
    <fill>
      <patternFill patternType="solid">
        <fgColor rgb="FFEAF2F0"/>
      </patternFill>
    </fill>
    <fill>
      <patternFill patternType="solid">
        <fgColor rgb="FFF4F8F6"/>
      </patternFill>
    </fill>
    <fill>
      <patternFill patternType="solid">
        <fgColor rgb="FFEDF3F1"/>
      </patternFill>
    </fill>
    <fill>
      <patternFill patternType="solid">
        <fgColor rgb="FF1F4442"/>
      </patternFill>
    </fill>
  </fills>
  <borders count="3">
    <border>
      <left/>
      <right/>
      <top/>
      <bottom/>
      <diagonal/>
    </border>
    <border>
      <bottom style="thin">
        <color rgb="FF1F4442"/>
      </bottom>
    </border>
    <border>
      <bottom style="thin">
        <color rgb="FFD9E4E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2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4" fontId="5" fillId="0" borderId="2" applyAlignment="1" pivotButton="0" quotePrefix="0" xfId="0">
      <alignment horizontal="right" vertical="center"/>
    </xf>
    <xf numFmtId="4" fontId="8" fillId="5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 wrapText="1"/>
    </xf>
    <xf numFmtId="4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 wrapText="1"/>
    </xf>
    <xf numFmtId="4" fontId="4" fillId="6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right" vertical="center"/>
    </xf>
    <xf numFmtId="0" fontId="5" fillId="0" borderId="2" pivotButton="0" quotePrefix="0" xfId="0"/>
    <xf numFmtId="0" fontId="8" fillId="3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0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  <xf numFmtId="4" fontId="5" fillId="5" borderId="2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name val="Microsoft YaHei"/>
        <b val="1"/>
        <color rgb="FFA83A2C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单季流水（亿元）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'汇总看板'!B11</f>
            </strRef>
          </tx>
          <spPr>
            <a:solidFill xmlns:a="http://schemas.openxmlformats.org/drawingml/2006/main">
              <a:srgbClr val="2F5D5B"/>
            </a:solidFill>
            <a:ln xmlns:a="http://schemas.openxmlformats.org/drawingml/2006/main">
              <a:prstDash val="solid"/>
            </a:ln>
          </spPr>
          <cat>
            <strRef>
              <f>'汇总看板'!$A$12:$A$14</f>
            </strRef>
          </cat>
          <val>
            <numRef>
              <f>'汇总看板'!$B$12:$B$14</f>
            </numRef>
          </val>
        </ser>
        <ser>
          <idx val="1"/>
          <order val="1"/>
          <tx>
            <strRef>
              <f>'汇总看板'!C11</f>
            </strRef>
          </tx>
          <spPr>
            <a:solidFill xmlns:a="http://schemas.openxmlformats.org/drawingml/2006/main">
              <a:srgbClr val="8FB3B0"/>
            </a:solidFill>
            <a:ln xmlns:a="http://schemas.openxmlformats.org/drawingml/2006/main">
              <a:prstDash val="solid"/>
            </a:ln>
          </spPr>
          <cat>
            <strRef>
              <f>'汇总看板'!$A$12:$A$14</f>
            </strRef>
          </cat>
          <val>
            <numRef>
              <f>'汇总看板'!$C$12:$C$14</f>
            </numRef>
          </val>
        </ser>
        <dLbls>
          <showLegendKey val="0"/>
          <showVal val="1"/>
          <showCatName val="0"/>
          <showSerName val="0"/>
        </dLbls>
        <gapWidth val="55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期间</a:t>
                </a:r>
              </a:p>
            </rich>
          </tx>
        </title>
        <numFmt formatCode="General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亿元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0" customWidth="1" min="5" max="5"/>
    <col width="40" customWidth="1" min="6" max="6"/>
  </cols>
  <sheetData>
    <row r="1" ht="32" customHeight="1">
      <c r="A1" s="1" t="inlineStr">
        <is>
          <t>《杖剑传说》数据运营分析 · 汇总</t>
        </is>
      </c>
    </row>
    <row r="2" ht="16" customHeight="1">
      <c r="A2" s="2" t="inlineStr">
        <is>
          <t>大陆与境外分列还原 · 数据截至 2026-08 · 全部来自公开披露</t>
        </is>
      </c>
    </row>
    <row r="3" ht="22" customHeight="1">
      <c r="A3" s="3" t="inlineStr">
        <is>
          <t>核心指标</t>
        </is>
      </c>
    </row>
    <row r="4" ht="26" customHeight="1">
      <c r="A4" s="4" t="inlineStr">
        <is>
          <t>指标</t>
        </is>
      </c>
      <c r="B4" s="4" t="inlineStr">
        <is>
          <t>数值</t>
        </is>
      </c>
      <c r="C4" s="4" t="inlineStr">
        <is>
          <t>说明</t>
        </is>
      </c>
    </row>
    <row r="5" ht="23" customHeight="1">
      <c r="A5" s="5" t="inlineStr">
        <is>
          <t>2025 总流水（亿元）</t>
        </is>
      </c>
      <c r="B5" s="6">
        <f>D15</f>
        <v>24.949999999999996</v>
      </c>
      <c r="C5" s="7" t="inlineStr">
        <is>
          <t>大陆 + 境外</t>
        </is>
      </c>
    </row>
    <row r="6" ht="23" customHeight="1">
      <c r="A6" s="5" t="inlineStr">
        <is>
          <t>境外流水占比</t>
        </is>
      </c>
      <c r="B6" s="8">
        <f>IF(OR(D15="",D15=0),"",计算过程!E9/D15)</f>
        <v>0.317434869739479</v>
      </c>
      <c r="C6" s="9" t="inlineStr">
        <is>
          <t>境外全年 / 总流水</t>
        </is>
      </c>
    </row>
    <row r="7" ht="23" customHeight="1">
      <c r="A7" s="5" t="inlineStr">
        <is>
          <t>峰值季度单季流水（亿元）</t>
        </is>
      </c>
      <c r="B7" s="6">
        <f>D13</f>
        <v>12.2</v>
      </c>
      <c r="C7" s="7" t="inlineStr">
        <is>
          <t>2025 Q3，上线后第二个季度</t>
        </is>
      </c>
    </row>
    <row r="8" ht="23" customHeight="1">
      <c r="A8" s="5" t="inlineStr">
        <is>
          <t>首发季占全年比</t>
        </is>
      </c>
      <c r="B8" s="8">
        <f>IF(OR(D15="",D15=0),"",D12/D15)</f>
        <v>0.16993987975951907</v>
      </c>
      <c r="C8" s="9" t="inlineStr">
        <is>
          <t>2025 Q2 / 全年</t>
        </is>
      </c>
    </row>
    <row r="10" ht="22" customHeight="1">
      <c r="A10" s="3" t="inlineStr">
        <is>
          <t>单季流水（大陆 / 境外，由累计口径还原）</t>
        </is>
      </c>
    </row>
    <row r="11" ht="26" customHeight="1">
      <c r="A11" s="4" t="inlineStr">
        <is>
          <t>期间</t>
        </is>
      </c>
      <c r="B11" s="4" t="inlineStr">
        <is>
          <t>大陆（亿元）</t>
        </is>
      </c>
      <c r="C11" s="4" t="inlineStr">
        <is>
          <t>境外（亿元）</t>
        </is>
      </c>
      <c r="D11" s="4" t="inlineStr">
        <is>
          <t>合计（亿元）</t>
        </is>
      </c>
      <c r="E11" s="4" t="inlineStr">
        <is>
          <t>环比</t>
        </is>
      </c>
      <c r="F11" s="4" t="inlineStr">
        <is>
          <t>说明</t>
        </is>
      </c>
    </row>
    <row r="12" ht="21" customHeight="1">
      <c r="A12" s="10" t="inlineStr">
        <is>
          <t>2025 Q2</t>
        </is>
      </c>
      <c r="B12" s="11" t="n">
        <v>4.24</v>
      </c>
      <c r="C12" s="11" t="n">
        <v>0</v>
      </c>
      <c r="D12" s="12">
        <f>B12+C12</f>
        <v>4.24</v>
      </c>
      <c r="E12" s="13" t="inlineStr">
        <is>
          <t>—</t>
        </is>
      </c>
      <c r="F12" s="10" t="inlineStr">
        <is>
          <t>大陆 5/29 上线，约一个月；境外未上线</t>
        </is>
      </c>
    </row>
    <row r="13" ht="21" customHeight="1">
      <c r="A13" s="14" t="inlineStr">
        <is>
          <t>2025 Q3</t>
        </is>
      </c>
      <c r="B13" s="15" t="n">
        <v>7.42</v>
      </c>
      <c r="C13" s="15" t="n">
        <v>4.78</v>
      </c>
      <c r="D13" s="12">
        <f>B13+C13</f>
        <v>12.2</v>
      </c>
      <c r="E13" s="16">
        <f>IF(OR(D12="",D12=0),"",D13/D12-1)</f>
        <v>1.8773584905660372</v>
      </c>
      <c r="F13" s="14" t="inlineStr">
        <is>
          <t>境外 7/15 上线，约两个半月；达峰值</t>
        </is>
      </c>
    </row>
    <row r="14" ht="21" customHeight="1">
      <c r="A14" s="10" t="inlineStr">
        <is>
          <t>2025 Q4</t>
        </is>
      </c>
      <c r="B14" s="11" t="n">
        <v>5.37</v>
      </c>
      <c r="C14" s="11" t="n">
        <v>3.14</v>
      </c>
      <c r="D14" s="12">
        <f>B14+C14</f>
        <v>8.51</v>
      </c>
      <c r="E14" s="13">
        <f>IF(OR(D13="",D13=0),"",D14/D13-1)</f>
        <v>-0.30245901639344264</v>
      </c>
      <c r="F14" s="10" t="inlineStr">
        <is>
          <t>首个完整运营季度</t>
        </is>
      </c>
    </row>
    <row r="15" ht="24" customHeight="1">
      <c r="A15" s="17" t="inlineStr">
        <is>
          <t>2025 全年</t>
        </is>
      </c>
      <c r="B15" s="18">
        <f>B12+B13+B14</f>
        <v>17.03</v>
      </c>
      <c r="C15" s="18">
        <f>C12+C13+C14</f>
        <v>7.92</v>
      </c>
      <c r="D15" s="18">
        <f>D12+D13+D14</f>
        <v>24.949999999999996</v>
      </c>
      <c r="E15" s="19" t="inlineStr">
        <is>
          <t>—</t>
        </is>
      </c>
      <c r="F15" s="17" t="inlineStr">
        <is>
          <t>与年报全年数据核对</t>
        </is>
      </c>
    </row>
    <row r="16" ht="21" customHeight="1">
      <c r="A16" s="20" t="inlineStr">
        <is>
          <t>校验</t>
        </is>
      </c>
      <c r="B16" s="21" t="str">
        <f>IF(AND(ROUND(计算过程!C9-17.03,2)=0,ROUND(计算过程!E9-7.92,2)=0),"通过：大陆与境外还原值均与年报一致","不一致，需检查")</f>
        <v>通过：大陆与境外还原值均与年报一致</v>
      </c>
      <c r="C16" s="22" t="n"/>
      <c r="D16" s="22" t="n"/>
      <c r="E16" s="22" t="n"/>
      <c r="F16" s="22" t="n"/>
    </row>
    <row r="18" ht="22" customHeight="1">
      <c r="A18" s="3" t="inlineStr">
        <is>
          <t>同门对照（同一家公司、同一年上线）</t>
        </is>
      </c>
    </row>
    <row r="19" ht="26" customHeight="1">
      <c r="A19" s="4" t="inlineStr">
        <is>
          <t>产品</t>
        </is>
      </c>
      <c r="B19" s="4" t="inlineStr">
        <is>
          <t>2025 全年流水（亿元）</t>
        </is>
      </c>
      <c r="C19" s="4" t="inlineStr">
        <is>
          <t>峰值季度</t>
        </is>
      </c>
      <c r="D19" s="4" t="inlineStr">
        <is>
          <t>首次出海（距上线）</t>
        </is>
      </c>
      <c r="E19" s="4" t="inlineStr">
        <is>
          <t>说明</t>
        </is>
      </c>
    </row>
    <row r="20" ht="21" customHeight="1">
      <c r="A20" s="10" t="inlineStr">
        <is>
          <t>问剑长生</t>
        </is>
      </c>
      <c r="B20" s="11" t="n">
        <v>8.24</v>
      </c>
      <c r="C20" s="10" t="inlineStr">
        <is>
          <t>首发季度</t>
        </is>
      </c>
      <c r="D20" s="10" t="inlineStr">
        <is>
          <t>约 11 个月</t>
        </is>
      </c>
      <c r="E20" s="10" t="inlineStr">
        <is>
          <t>境外占比极低</t>
        </is>
      </c>
    </row>
    <row r="21" ht="21" customHeight="1">
      <c r="A21" s="14" t="inlineStr">
        <is>
          <t>杖剑传说</t>
        </is>
      </c>
      <c r="B21" s="15" t="n">
        <v>24.95</v>
      </c>
      <c r="C21" s="14" t="inlineStr">
        <is>
          <t>第二个季度</t>
        </is>
      </c>
      <c r="D21" s="14" t="inlineStr">
        <is>
          <t>约 1.5 个月</t>
        </is>
      </c>
      <c r="E21" s="14" t="inlineStr">
        <is>
          <t>境外占比约 32%</t>
        </is>
      </c>
    </row>
  </sheetData>
  <mergeCells count="3">
    <mergeCell ref="B16:F16"/>
    <mergeCell ref="A2:F2"/>
    <mergeCell ref="A1:F1"/>
  </mergeCells>
  <conditionalFormatting sqref="E13:E14">
    <cfRule type="cellIs" priority="1" operator="lessThan" dxfId="0">
      <formula>0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30" customWidth="1" min="4" max="4"/>
  </cols>
  <sheetData>
    <row r="1" ht="30" customHeight="1">
      <c r="A1" s="1" t="inlineStr">
        <is>
          <t>原始数据（全部来自公开披露）</t>
        </is>
      </c>
    </row>
    <row r="3" ht="22" customHeight="1">
      <c r="A3" s="3" t="inlineStr">
        <is>
          <t>一、累计流水（官方披露）</t>
        </is>
      </c>
    </row>
    <row r="4" ht="26" customHeight="1">
      <c r="A4" s="4" t="inlineStr">
        <is>
          <t>产品线与期间</t>
        </is>
      </c>
      <c r="B4" s="4" t="inlineStr">
        <is>
          <t>累计流水（亿元）</t>
        </is>
      </c>
      <c r="C4" s="4" t="inlineStr">
        <is>
          <t>披露文件</t>
        </is>
      </c>
      <c r="D4" s="4" t="inlineStr">
        <is>
          <t>备注</t>
        </is>
      </c>
    </row>
    <row r="5" ht="21" customHeight="1">
      <c r="A5" s="10" t="inlineStr">
        <is>
          <t>杖剑传说（大陆）2025 Q2</t>
        </is>
      </c>
      <c r="B5" s="11" t="n">
        <v>4.24</v>
      </c>
      <c r="C5" s="10" t="inlineStr">
        <is>
          <t>2025 年半年报</t>
        </is>
      </c>
      <c r="D5" s="10" t="inlineStr">
        <is>
          <t>公测首月</t>
        </is>
      </c>
    </row>
    <row r="6" ht="21" customHeight="1">
      <c r="A6" s="14" t="inlineStr">
        <is>
          <t>杖剑传说（大陆）2025 Q3</t>
        </is>
      </c>
      <c r="B6" s="15" t="n">
        <v>11.66</v>
      </c>
      <c r="C6" s="14" t="inlineStr">
        <is>
          <t>2025 年三季度报告</t>
        </is>
      </c>
      <c r="D6" s="14" t="inlineStr">
        <is>
          <t>累计值，非单季</t>
        </is>
      </c>
    </row>
    <row r="7" ht="21" customHeight="1">
      <c r="A7" s="10" t="inlineStr">
        <is>
          <t>杖剑传说（大陆）2025 全年</t>
        </is>
      </c>
      <c r="B7" s="11" t="n">
        <v>17.03</v>
      </c>
      <c r="C7" s="10" t="inlineStr">
        <is>
          <t>2025 年年度报告</t>
        </is>
      </c>
      <c r="D7" s="10" t="inlineStr">
        <is>
          <t>用于交叉校验</t>
        </is>
      </c>
    </row>
    <row r="8" ht="21" customHeight="1">
      <c r="A8" s="14" t="inlineStr">
        <is>
          <t>杖剑传说（境外）2025 Q3</t>
        </is>
      </c>
      <c r="B8" s="15" t="n">
        <v>4.78</v>
      </c>
      <c r="C8" s="14" t="inlineStr">
        <is>
          <t>2025 年三季度报告</t>
        </is>
      </c>
      <c r="D8" s="14" t="inlineStr">
        <is>
          <t>7 月 15 日上线</t>
        </is>
      </c>
    </row>
    <row r="9" ht="21" customHeight="1">
      <c r="A9" s="10" t="inlineStr">
        <is>
          <t>杖剑传说（境外）2025 全年</t>
        </is>
      </c>
      <c r="B9" s="11" t="n">
        <v>7.92</v>
      </c>
      <c r="C9" s="10" t="inlineStr">
        <is>
          <t>2025 年年度报告</t>
        </is>
      </c>
      <c r="D9" s="10" t="inlineStr">
        <is>
          <t>用于交叉校验</t>
        </is>
      </c>
    </row>
    <row r="10" ht="21" customHeight="1">
      <c r="A10" s="14" t="inlineStr">
        <is>
          <t>杖剑传说 2026 Q1（大陆+境外）</t>
        </is>
      </c>
      <c r="B10" s="15" t="n">
        <v>7.48</v>
      </c>
      <c r="C10" s="14" t="inlineStr">
        <is>
          <t>2026 年一季度报告</t>
        </is>
      </c>
      <c r="D10" s="14" t="inlineStr">
        <is>
          <t>官方合计口径</t>
        </is>
      </c>
    </row>
    <row r="12" ht="22" customHeight="1">
      <c r="A12" s="3" t="inlineStr">
        <is>
          <t>二、大陆畅销榜排名（中国大陆 iOS 游戏畅销榜）</t>
        </is>
      </c>
    </row>
    <row r="13" ht="26" customHeight="1">
      <c r="A13" s="4" t="inlineStr">
        <is>
          <t>期间</t>
        </is>
      </c>
      <c r="B13" s="4" t="inlineStr">
        <is>
          <t>平均排名</t>
        </is>
      </c>
      <c r="C13" s="4" t="inlineStr">
        <is>
          <t>最高排名</t>
        </is>
      </c>
      <c r="D13" s="4" t="inlineStr">
        <is>
          <t>说明</t>
        </is>
      </c>
    </row>
    <row r="14" ht="21" customHeight="1">
      <c r="A14" s="10" t="inlineStr">
        <is>
          <t>2025 上线首月</t>
        </is>
      </c>
      <c r="B14" s="23" t="inlineStr">
        <is>
          <t>—</t>
        </is>
      </c>
      <c r="C14" s="23" t="n">
        <v>10</v>
      </c>
      <c r="D14" s="10" t="inlineStr">
        <is>
          <t>第三方与官方口径混合</t>
        </is>
      </c>
    </row>
    <row r="15" ht="21" customHeight="1">
      <c r="A15" s="14" t="inlineStr">
        <is>
          <t>2025 全年</t>
        </is>
      </c>
      <c r="B15" s="24" t="n">
        <v>34</v>
      </c>
      <c r="C15" s="24" t="inlineStr">
        <is>
          <t>—</t>
        </is>
      </c>
      <c r="D15" s="14" t="inlineStr">
        <is>
          <t>报告期平均排名</t>
        </is>
      </c>
    </row>
    <row r="16" ht="21" customHeight="1">
      <c r="A16" s="10" t="inlineStr">
        <is>
          <t>2026 Q2</t>
        </is>
      </c>
      <c r="B16" s="23" t="n">
        <v>69</v>
      </c>
      <c r="C16" s="23" t="n">
        <v>54</v>
      </c>
      <c r="D16" s="10" t="inlineStr">
        <is>
          <t>平均与最高均为报告期口径</t>
        </is>
      </c>
    </row>
    <row r="18" ht="22" customHeight="1">
      <c r="A18" s="3" t="inlineStr">
        <is>
          <t>三、2026 Q2 分地区畅销榜最高位</t>
        </is>
      </c>
    </row>
    <row r="19" ht="26" customHeight="1">
      <c r="A19" s="4" t="inlineStr">
        <is>
          <t>市场</t>
        </is>
      </c>
      <c r="B19" s="4" t="inlineStr">
        <is>
          <t>最高排名</t>
        </is>
      </c>
      <c r="C19" s="4" t="inlineStr">
        <is>
          <t>说明</t>
        </is>
      </c>
    </row>
    <row r="20" ht="21" customHeight="1">
      <c r="A20" s="10" t="inlineStr">
        <is>
          <t>中国澳门</t>
        </is>
      </c>
      <c r="B20" s="23" t="n">
        <v>3</v>
      </c>
      <c r="C20" s="10" t="inlineStr">
        <is>
          <t>中文市场延伸，表现最强</t>
        </is>
      </c>
    </row>
    <row r="21" ht="21" customHeight="1">
      <c r="A21" s="14" t="inlineStr">
        <is>
          <t>中国香港</t>
        </is>
      </c>
      <c r="B21" s="24" t="n">
        <v>9</v>
      </c>
      <c r="C21" s="14" t="inlineStr">
        <is>
          <t>保持在前十</t>
        </is>
      </c>
    </row>
    <row r="22" ht="21" customHeight="1">
      <c r="A22" s="10" t="inlineStr">
        <is>
          <t>中国台湾</t>
        </is>
      </c>
      <c r="B22" s="23" t="n">
        <v>15</v>
      </c>
      <c r="C22" s="10" t="inlineStr">
        <is>
          <t>较上线初期回落但仍在头部</t>
        </is>
      </c>
    </row>
    <row r="23" ht="21" customHeight="1">
      <c r="A23" s="14" t="inlineStr">
        <is>
          <t>日本</t>
        </is>
      </c>
      <c r="B23" s="24" t="n">
        <v>74</v>
      </c>
      <c r="C23" s="14" t="inlineStr">
        <is>
          <t>与中文市场差距明显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34" customWidth="1" min="6" max="6"/>
  </cols>
  <sheetData>
    <row r="1" ht="30" customHeight="1">
      <c r="A1" s="1" t="inlineStr">
        <is>
          <t>计算过程（单季还原与结构分析）</t>
        </is>
      </c>
    </row>
    <row r="3">
      <c r="A3" s="2" t="inlineStr">
        <is>
          <t>说明：公司披露累计流水，本表还原为单季。大陆与境外分别还原后加总。</t>
        </is>
      </c>
    </row>
    <row r="5" ht="26" customHeight="1">
      <c r="A5" s="4" t="inlineStr">
        <is>
          <t>期间</t>
        </is>
      </c>
      <c r="B5" s="4" t="inlineStr">
        <is>
          <t>大陆累计（亿元）</t>
        </is>
      </c>
      <c r="C5" s="4" t="inlineStr">
        <is>
          <t>大陆单季（亿元）</t>
        </is>
      </c>
      <c r="D5" s="4" t="inlineStr">
        <is>
          <t>境外累计（亿元）</t>
        </is>
      </c>
      <c r="E5" s="4" t="inlineStr">
        <is>
          <t>境外单季（亿元）</t>
        </is>
      </c>
      <c r="F5" s="4" t="inlineStr">
        <is>
          <t>计算说明</t>
        </is>
      </c>
    </row>
    <row r="6" ht="21" customHeight="1">
      <c r="A6" s="10" t="inlineStr">
        <is>
          <t>2025 Q2</t>
        </is>
      </c>
      <c r="B6" s="11" t="n">
        <v>4.24</v>
      </c>
      <c r="C6" s="12">
        <f>B6</f>
        <v>4.24</v>
      </c>
      <c r="D6" s="23" t="inlineStr">
        <is>
          <t>—</t>
        </is>
      </c>
      <c r="E6" s="25" t="inlineStr">
        <is>
          <t>—</t>
        </is>
      </c>
      <c r="F6" s="10" t="inlineStr">
        <is>
          <t>大陆累计即单季；境外未上线</t>
        </is>
      </c>
    </row>
    <row r="7" ht="21" customHeight="1">
      <c r="A7" s="14" t="inlineStr">
        <is>
          <t>2025 Q3</t>
        </is>
      </c>
      <c r="B7" s="15" t="n">
        <v>11.66</v>
      </c>
      <c r="C7" s="12">
        <f>B7-B6</f>
        <v>7.42</v>
      </c>
      <c r="D7" s="15" t="n">
        <v>4.78</v>
      </c>
      <c r="E7" s="25">
        <f>D7</f>
        <v>4.78</v>
      </c>
      <c r="F7" s="14" t="inlineStr">
        <is>
          <t>累计相减；境外本季为首期</t>
        </is>
      </c>
    </row>
    <row r="8" ht="21" customHeight="1">
      <c r="A8" s="10" t="inlineStr">
        <is>
          <t>2025 Q4</t>
        </is>
      </c>
      <c r="B8" s="11" t="n">
        <v>17.03</v>
      </c>
      <c r="C8" s="12">
        <f>B8-B7</f>
        <v>5.370000000000001</v>
      </c>
      <c r="D8" s="11" t="n">
        <v>7.92</v>
      </c>
      <c r="E8" s="25">
        <f>D8-D7</f>
        <v>3.1399999999999997</v>
      </c>
      <c r="F8" s="10" t="inlineStr">
        <is>
          <t>均有前期累计可减</t>
        </is>
      </c>
    </row>
    <row r="9" ht="24" customHeight="1">
      <c r="A9" s="17" t="inlineStr">
        <is>
          <t>合计</t>
        </is>
      </c>
      <c r="B9" s="18">
        <f>B8</f>
        <v>17.03</v>
      </c>
      <c r="C9" s="18">
        <f>SUM(C6:C8)</f>
        <v>17.03</v>
      </c>
      <c r="D9" s="18">
        <f>D8</f>
        <v>7.92</v>
      </c>
      <c r="E9" s="18">
        <f>SUM(E7:E8)</f>
        <v>7.92</v>
      </c>
      <c r="F9" s="17" t="inlineStr">
        <is>
          <t>与年报核对：大陆 17.03 / 境外 7.92</t>
        </is>
      </c>
    </row>
    <row r="10" ht="21" customHeight="1">
      <c r="A10" s="20" t="inlineStr">
        <is>
          <t>校验</t>
        </is>
      </c>
      <c r="B10" s="21" t="str">
        <f>IF(AND(ROUND(C9-17.03,2)=0,ROUND(E9-7.92,2)=0),"通过：大陆与境外还原值均与年报一致","不一致，需检查")</f>
        <v>通过：大陆与境外还原值均与年报一致</v>
      </c>
      <c r="C10" s="22" t="n"/>
      <c r="D10" s="22" t="n"/>
      <c r="E10" s="22" t="n"/>
      <c r="F10" s="22" t="n"/>
    </row>
    <row r="12" ht="22" customHeight="1">
      <c r="A12" s="3" t="inlineStr">
        <is>
          <t>结构分析（引用汇总表）</t>
        </is>
      </c>
    </row>
    <row r="13" ht="26" customHeight="1">
      <c r="A13" s="4" t="inlineStr">
        <is>
          <t>指标</t>
        </is>
      </c>
      <c r="B13" s="4" t="inlineStr">
        <is>
          <t>数值</t>
        </is>
      </c>
      <c r="C13" s="4" t="inlineStr">
        <is>
          <t>计算说明</t>
        </is>
      </c>
    </row>
    <row r="14" ht="23" customHeight="1">
      <c r="A14" s="26" t="inlineStr">
        <is>
          <t>境外流水占比（2025）</t>
        </is>
      </c>
      <c r="B14" s="27">
        <f>IF(OR(汇总看板!D15="",汇总看板!D15=0),"",E9/汇总看板!D15)</f>
        <v>0.317434869739479</v>
      </c>
      <c r="C14" s="28" t="inlineStr">
        <is>
          <t>境外全年 / 总流水</t>
        </is>
      </c>
    </row>
    <row r="15" ht="23" customHeight="1">
      <c r="A15" s="26" t="inlineStr">
        <is>
          <t>峰值季度占全年比</t>
        </is>
      </c>
      <c r="B15" s="27">
        <f>IF(OR(汇总看板!D15="",汇总看板!D15=0),"",汇总看板!D13/汇总看板!D15)</f>
        <v>0.4889779559118237</v>
      </c>
      <c r="C15" s="28" t="inlineStr">
        <is>
          <t>Q3 合计 / 全年</t>
        </is>
      </c>
    </row>
    <row r="16" ht="23" customHeight="1">
      <c r="A16" s="26" t="inlineStr">
        <is>
          <t>首发季占全年比</t>
        </is>
      </c>
      <c r="B16" s="27">
        <f>IF(OR(汇总看板!D15="",汇总看板!D15=0),"",汇总看板!D12/汇总看板!D15)</f>
        <v>0.16993987975951907</v>
      </c>
      <c r="C16" s="28" t="inlineStr">
        <is>
          <t>Q2 合计 / 全年</t>
        </is>
      </c>
    </row>
    <row r="17" ht="23" customHeight="1">
      <c r="A17" s="26" t="inlineStr">
        <is>
          <t>Q3 至 Q4 环比</t>
        </is>
      </c>
      <c r="B17" s="27">
        <f>IF(OR(汇总看板!D13="",汇总看板!D13=0),"",汇总看板!D14/汇总看板!D13-1)</f>
        <v>-0.30245901639344264</v>
      </c>
      <c r="C17" s="28" t="inlineStr">
        <is>
          <t>回落幅度</t>
        </is>
      </c>
    </row>
  </sheetData>
  <mergeCells count="3">
    <mergeCell ref="A3:F3"/>
    <mergeCell ref="B10:F1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杖剑传说 数据运营分析</dc:title>
  <dcterms:created xmlns:dcterms="http://purl.org/dc/terms/" xmlns:xsi="http://www.w3.org/2001/XMLSchema-instance" xsi:type="dcterms:W3CDTF">2026-09-17T03:14:13Z</dcterms:created>
  <dcterms:modified xmlns:dcterms="http://purl.org/dc/terms/" xmlns:xsi="http://www.w3.org/2001/XMLSchema-instance" xsi:type="dcterms:W3CDTF">2026-09-17T03:14:13Z</dcterms:modified>
</cp:coreProperties>
</file>